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qlnha\Desktop\"/>
    </mc:Choice>
  </mc:AlternateContent>
  <xr:revisionPtr revIDLastSave="0" documentId="13_ncr:1_{6506AC5C-45A0-45A0-B0A0-B6988F6A6A6B}" xr6:coauthVersionLast="47" xr6:coauthVersionMax="47" xr10:uidLastSave="{00000000-0000-0000-0000-000000000000}"/>
  <bookViews>
    <workbookView xWindow="-108" yWindow="-108" windowWidth="23256" windowHeight="12456" tabRatio="595" firstSheet="3" activeTab="4" xr2:uid="{00000000-000D-0000-FFFF-FFFF00000000}"/>
  </bookViews>
  <sheets>
    <sheet name="MỨC LƯƠNG KHOÁN" sheetId="15" state="hidden" r:id="rId1"/>
    <sheet name="phieuung" sheetId="9" state="hidden" r:id="rId2"/>
    <sheet name="QUA" sheetId="19" state="hidden" r:id="rId3"/>
    <sheet name="C.C VP" sheetId="57" r:id="rId4"/>
    <sheet name="C.C KT" sheetId="44" r:id="rId5"/>
    <sheet name="C.C BV" sheetId="55" r:id="rId6"/>
    <sheet name="C.C TV" sheetId="56" r:id="rId7"/>
    <sheet name="Sheet3" sheetId="13" state="hidden" r:id="rId8"/>
    <sheet name="The bao hiem" sheetId="16" state="hidden" r:id="rId9"/>
  </sheets>
  <externalReferences>
    <externalReference r:id="rId10"/>
    <externalReference r:id="rId11"/>
  </externalReferences>
  <definedNames>
    <definedName name="_Fill" localSheetId="5" hidden="1">#REF!</definedName>
    <definedName name="_Fill" localSheetId="1" hidden="1">#REF!</definedName>
    <definedName name="_Fill" hidden="1">#REF!</definedName>
    <definedName name="_xlnm.Print_Area" localSheetId="5">'C.C BV'!$A$1:$AP$71</definedName>
    <definedName name="_xlnm.Print_Area" localSheetId="4">'C.C KT'!$A$2:$AP$33</definedName>
    <definedName name="_xlnm.Print_Area" localSheetId="6">'C.C TV'!$A$1:$AP$53</definedName>
    <definedName name="_xlnm.Print_Area" localSheetId="3">'C.C VP'!$A$1:$AP$39</definedName>
    <definedName name="_xlnm.Print_Titles" localSheetId="5">'C.C BV'!$5:$8</definedName>
    <definedName name="_xlnm.Print_Titles" localSheetId="4">'C.C KT'!$5:$8</definedName>
    <definedName name="_xlnm.Print_Titles" localSheetId="3">'C.C VP'!$5:$8</definedName>
    <definedName name="_xlnm.Print_Titles" localSheetId="0">'MỨC LƯƠNG KHOÁN'!$7:$7</definedName>
    <definedName name="_xlnm.Print_Titles" localSheetId="2">QUA!$8:$8</definedName>
    <definedName name="_xlnm.Print_Titles" localSheetId="8">'The bao hiem'!$8:$8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" i="44" l="1"/>
  <c r="AO17" i="44"/>
  <c r="AN16" i="44"/>
  <c r="AN17" i="44"/>
  <c r="AM16" i="44"/>
  <c r="AM17" i="44"/>
  <c r="AL17" i="44"/>
  <c r="AK16" i="44"/>
  <c r="AJ16" i="44"/>
  <c r="AJ17" i="44"/>
  <c r="AI16" i="44"/>
  <c r="AI17" i="44"/>
  <c r="AI16" i="57" l="1"/>
  <c r="AJ16" i="57"/>
  <c r="AK16" i="57"/>
  <c r="AL16" i="57"/>
  <c r="AM16" i="57"/>
  <c r="AN16" i="57"/>
  <c r="AO16" i="57"/>
  <c r="AO32" i="56" l="1"/>
  <c r="AN32" i="56"/>
  <c r="AM32" i="56"/>
  <c r="AL32" i="56"/>
  <c r="AK32" i="56"/>
  <c r="AJ32" i="56"/>
  <c r="AI32" i="56"/>
  <c r="AN54" i="55" l="1"/>
  <c r="AO55" i="55"/>
  <c r="AO54" i="55"/>
  <c r="AM54" i="55"/>
  <c r="AL54" i="55"/>
  <c r="AK54" i="55"/>
  <c r="AJ54" i="55"/>
  <c r="AI54" i="55"/>
  <c r="AO22" i="57"/>
  <c r="AN22" i="57"/>
  <c r="AM22" i="57"/>
  <c r="AL22" i="57"/>
  <c r="AK22" i="57"/>
  <c r="AJ22" i="57"/>
  <c r="AI22" i="57"/>
  <c r="AO20" i="57"/>
  <c r="AN20" i="57"/>
  <c r="AM20" i="57"/>
  <c r="AL20" i="57"/>
  <c r="AK20" i="57"/>
  <c r="AJ20" i="57"/>
  <c r="AI20" i="57"/>
  <c r="AO18" i="57"/>
  <c r="AN18" i="57"/>
  <c r="AM18" i="57"/>
  <c r="AL18" i="57"/>
  <c r="AK18" i="57"/>
  <c r="AJ18" i="57"/>
  <c r="AI18" i="57"/>
  <c r="AO14" i="57"/>
  <c r="AN14" i="57"/>
  <c r="AM14" i="57"/>
  <c r="AL14" i="57"/>
  <c r="AK14" i="57"/>
  <c r="AJ14" i="57"/>
  <c r="AI14" i="57"/>
  <c r="AO12" i="57"/>
  <c r="AN12" i="57"/>
  <c r="AM12" i="57"/>
  <c r="AL12" i="57"/>
  <c r="AK12" i="57"/>
  <c r="AJ12" i="57"/>
  <c r="AI12" i="57"/>
  <c r="AI11" i="57"/>
  <c r="AO10" i="57"/>
  <c r="AN10" i="57"/>
  <c r="AM10" i="57"/>
  <c r="AL10" i="57"/>
  <c r="AK10" i="57"/>
  <c r="AJ10" i="57"/>
  <c r="AI10" i="57"/>
  <c r="D8" i="57"/>
  <c r="E7" i="57"/>
  <c r="E8" i="57" s="1"/>
  <c r="A4" i="57"/>
  <c r="AO30" i="56"/>
  <c r="AN30" i="56"/>
  <c r="AM30" i="56"/>
  <c r="AL30" i="56"/>
  <c r="AK30" i="56"/>
  <c r="AJ30" i="56"/>
  <c r="AI30" i="56"/>
  <c r="AO36" i="56"/>
  <c r="AN36" i="56"/>
  <c r="AM36" i="56"/>
  <c r="AL36" i="56"/>
  <c r="AK36" i="56"/>
  <c r="AJ36" i="56"/>
  <c r="AI36" i="56"/>
  <c r="AO34" i="56"/>
  <c r="AN34" i="56"/>
  <c r="AM34" i="56"/>
  <c r="AL34" i="56"/>
  <c r="AK34" i="56"/>
  <c r="AJ34" i="56"/>
  <c r="AI34" i="56"/>
  <c r="AO28" i="56"/>
  <c r="AN28" i="56"/>
  <c r="AM28" i="56"/>
  <c r="AL28" i="56"/>
  <c r="AK28" i="56"/>
  <c r="AJ28" i="56"/>
  <c r="AI28" i="56"/>
  <c r="AO26" i="56"/>
  <c r="AN26" i="56"/>
  <c r="AM26" i="56"/>
  <c r="AL26" i="56"/>
  <c r="AK26" i="56"/>
  <c r="AJ26" i="56"/>
  <c r="AI26" i="56"/>
  <c r="AO24" i="56"/>
  <c r="AN24" i="56"/>
  <c r="AM24" i="56"/>
  <c r="AL24" i="56"/>
  <c r="AK24" i="56"/>
  <c r="AJ24" i="56"/>
  <c r="AI24" i="56"/>
  <c r="AO22" i="56"/>
  <c r="AN22" i="56"/>
  <c r="AM22" i="56"/>
  <c r="AL22" i="56"/>
  <c r="AK22" i="56"/>
  <c r="AJ22" i="56"/>
  <c r="AI22" i="56"/>
  <c r="AO20" i="56"/>
  <c r="AN20" i="56"/>
  <c r="AM20" i="56"/>
  <c r="AL20" i="56"/>
  <c r="AK20" i="56"/>
  <c r="AJ20" i="56"/>
  <c r="AI20" i="56"/>
  <c r="AO18" i="56"/>
  <c r="AN18" i="56"/>
  <c r="AM18" i="56"/>
  <c r="AL18" i="56"/>
  <c r="AK18" i="56"/>
  <c r="AJ18" i="56"/>
  <c r="AI18" i="56"/>
  <c r="AO16" i="56"/>
  <c r="AN16" i="56"/>
  <c r="AM16" i="56"/>
  <c r="AL16" i="56"/>
  <c r="AK16" i="56"/>
  <c r="AJ16" i="56"/>
  <c r="AI16" i="56"/>
  <c r="AO14" i="56"/>
  <c r="AN14" i="56"/>
  <c r="AM14" i="56"/>
  <c r="AL14" i="56"/>
  <c r="AK14" i="56"/>
  <c r="AJ14" i="56"/>
  <c r="AI14" i="56"/>
  <c r="AO12" i="56"/>
  <c r="AN12" i="56"/>
  <c r="AM12" i="56"/>
  <c r="AL12" i="56"/>
  <c r="AK12" i="56"/>
  <c r="AJ12" i="56"/>
  <c r="AI12" i="56"/>
  <c r="A12" i="56"/>
  <c r="A14" i="56" s="1"/>
  <c r="A16" i="56" s="1"/>
  <c r="A18" i="56" s="1"/>
  <c r="A20" i="56" s="1"/>
  <c r="A22" i="56" s="1"/>
  <c r="A24" i="56" s="1"/>
  <c r="A26" i="56" s="1"/>
  <c r="A28" i="56" s="1"/>
  <c r="A32" i="56" s="1"/>
  <c r="A34" i="56" s="1"/>
  <c r="A36" i="56" s="1"/>
  <c r="A30" i="56" s="1"/>
  <c r="AO10" i="56"/>
  <c r="AN10" i="56"/>
  <c r="AM10" i="56"/>
  <c r="AL10" i="56"/>
  <c r="AK10" i="56"/>
  <c r="AJ10" i="56"/>
  <c r="AI10" i="56"/>
  <c r="D8" i="56"/>
  <c r="E7" i="56"/>
  <c r="E8" i="56" s="1"/>
  <c r="A4" i="56"/>
  <c r="AO53" i="55"/>
  <c r="AO52" i="55"/>
  <c r="AN52" i="55"/>
  <c r="AM52" i="55"/>
  <c r="AL52" i="55"/>
  <c r="AK52" i="55"/>
  <c r="AJ52" i="55"/>
  <c r="AI52" i="55"/>
  <c r="AO51" i="55"/>
  <c r="AO50" i="55"/>
  <c r="AN50" i="55"/>
  <c r="AM50" i="55"/>
  <c r="AL50" i="55"/>
  <c r="AK50" i="55"/>
  <c r="AJ50" i="55"/>
  <c r="AI50" i="55"/>
  <c r="AO49" i="55"/>
  <c r="AO48" i="55"/>
  <c r="AN48" i="55"/>
  <c r="AM48" i="55"/>
  <c r="AL48" i="55"/>
  <c r="AK48" i="55"/>
  <c r="AJ48" i="55"/>
  <c r="AI48" i="55"/>
  <c r="AO47" i="55"/>
  <c r="AO46" i="55"/>
  <c r="AN46" i="55"/>
  <c r="AM46" i="55"/>
  <c r="AL46" i="55"/>
  <c r="AK46" i="55"/>
  <c r="AJ46" i="55"/>
  <c r="AI46" i="55"/>
  <c r="AO45" i="55"/>
  <c r="AO44" i="55"/>
  <c r="AN44" i="55"/>
  <c r="AM44" i="55"/>
  <c r="AL44" i="55"/>
  <c r="AK44" i="55"/>
  <c r="AJ44" i="55"/>
  <c r="AI44" i="55"/>
  <c r="AO43" i="55"/>
  <c r="AO42" i="55"/>
  <c r="AN42" i="55"/>
  <c r="AM42" i="55"/>
  <c r="AL42" i="55"/>
  <c r="AK42" i="55"/>
  <c r="AJ42" i="55"/>
  <c r="AI42" i="55"/>
  <c r="AO41" i="55"/>
  <c r="AO40" i="55"/>
  <c r="AN40" i="55"/>
  <c r="AM40" i="55"/>
  <c r="AL40" i="55"/>
  <c r="AK40" i="55"/>
  <c r="AJ40" i="55"/>
  <c r="AI40" i="55"/>
  <c r="AO39" i="55"/>
  <c r="AO38" i="55"/>
  <c r="AN38" i="55"/>
  <c r="AM38" i="55"/>
  <c r="AL38" i="55"/>
  <c r="AK38" i="55"/>
  <c r="AJ38" i="55"/>
  <c r="AI38" i="55"/>
  <c r="AO37" i="55"/>
  <c r="AO36" i="55"/>
  <c r="AN36" i="55"/>
  <c r="AM36" i="55"/>
  <c r="AL36" i="55"/>
  <c r="AK36" i="55"/>
  <c r="AJ36" i="55"/>
  <c r="AI36" i="55"/>
  <c r="AO35" i="55"/>
  <c r="AO34" i="55"/>
  <c r="AN34" i="55"/>
  <c r="AM34" i="55"/>
  <c r="AL34" i="55"/>
  <c r="AK34" i="55"/>
  <c r="AJ34" i="55"/>
  <c r="AI34" i="55"/>
  <c r="AO32" i="55"/>
  <c r="AN32" i="55"/>
  <c r="AM32" i="55"/>
  <c r="AL32" i="55"/>
  <c r="AK32" i="55"/>
  <c r="AJ32" i="55"/>
  <c r="AI32" i="55"/>
  <c r="AO30" i="55"/>
  <c r="AN30" i="55"/>
  <c r="AM30" i="55"/>
  <c r="AL30" i="55"/>
  <c r="AK30" i="55"/>
  <c r="AJ30" i="55"/>
  <c r="AI30" i="55"/>
  <c r="AO28" i="55"/>
  <c r="AN28" i="55"/>
  <c r="AM28" i="55"/>
  <c r="AL28" i="55"/>
  <c r="AK28" i="55"/>
  <c r="AJ28" i="55"/>
  <c r="AI28" i="55"/>
  <c r="AO26" i="55"/>
  <c r="AN26" i="55"/>
  <c r="AM26" i="55"/>
  <c r="AL26" i="55"/>
  <c r="AK26" i="55"/>
  <c r="AJ26" i="55"/>
  <c r="AI26" i="55"/>
  <c r="AO25" i="55"/>
  <c r="AO24" i="55"/>
  <c r="AN24" i="55"/>
  <c r="AM24" i="55"/>
  <c r="AL24" i="55"/>
  <c r="AK24" i="55"/>
  <c r="AJ24" i="55"/>
  <c r="AI24" i="55"/>
  <c r="AO22" i="55"/>
  <c r="AN22" i="55"/>
  <c r="AM22" i="55"/>
  <c r="AL22" i="55"/>
  <c r="AK22" i="55"/>
  <c r="AJ22" i="55"/>
  <c r="AI22" i="55"/>
  <c r="AO21" i="55"/>
  <c r="AO20" i="55"/>
  <c r="AN20" i="55"/>
  <c r="AM20" i="55"/>
  <c r="AL20" i="55"/>
  <c r="AK20" i="55"/>
  <c r="AJ20" i="55"/>
  <c r="AI20" i="55"/>
  <c r="AO18" i="55"/>
  <c r="AN18" i="55"/>
  <c r="AM18" i="55"/>
  <c r="AL18" i="55"/>
  <c r="AK18" i="55"/>
  <c r="AJ18" i="55"/>
  <c r="AI18" i="55"/>
  <c r="AO17" i="55"/>
  <c r="AO16" i="55"/>
  <c r="AN16" i="55"/>
  <c r="AM16" i="55"/>
  <c r="AL16" i="55"/>
  <c r="AK16" i="55"/>
  <c r="AJ16" i="55"/>
  <c r="AI16" i="55"/>
  <c r="AO15" i="55"/>
  <c r="AO14" i="55"/>
  <c r="AN14" i="55"/>
  <c r="AM14" i="55"/>
  <c r="AL14" i="55"/>
  <c r="AK14" i="55"/>
  <c r="AJ14" i="55"/>
  <c r="AI14" i="55"/>
  <c r="AO12" i="55"/>
  <c r="AN12" i="55"/>
  <c r="AM12" i="55"/>
  <c r="AL12" i="55"/>
  <c r="AK12" i="55"/>
  <c r="AJ12" i="55"/>
  <c r="AI12" i="55"/>
  <c r="AO10" i="55"/>
  <c r="AN10" i="55"/>
  <c r="AM10" i="55"/>
  <c r="AL10" i="55"/>
  <c r="AK10" i="55"/>
  <c r="AJ10" i="55"/>
  <c r="AI10" i="55"/>
  <c r="D8" i="55"/>
  <c r="E7" i="55"/>
  <c r="F7" i="55" s="1"/>
  <c r="F8" i="55" s="1"/>
  <c r="A4" i="55"/>
  <c r="F7" i="56" l="1"/>
  <c r="E8" i="55"/>
  <c r="F7" i="57"/>
  <c r="G7" i="55"/>
  <c r="AK14" i="44"/>
  <c r="AK12" i="44"/>
  <c r="AK10" i="44"/>
  <c r="AL10" i="44"/>
  <c r="AL13" i="44"/>
  <c r="AL15" i="44"/>
  <c r="F8" i="56" l="1"/>
  <c r="G7" i="56"/>
  <c r="G7" i="57"/>
  <c r="F8" i="57"/>
  <c r="G8" i="55"/>
  <c r="H7" i="55"/>
  <c r="AM13" i="44"/>
  <c r="AM14" i="44"/>
  <c r="AM15" i="44"/>
  <c r="AM12" i="44"/>
  <c r="G8" i="56" l="1"/>
  <c r="H7" i="56"/>
  <c r="H7" i="57"/>
  <c r="G8" i="57"/>
  <c r="I7" i="55"/>
  <c r="H8" i="55"/>
  <c r="H8" i="56" l="1"/>
  <c r="I7" i="56"/>
  <c r="H8" i="57"/>
  <c r="I7" i="57"/>
  <c r="J7" i="55"/>
  <c r="I8" i="55"/>
  <c r="AO13" i="44"/>
  <c r="AO15" i="44"/>
  <c r="AN15" i="44"/>
  <c r="AJ15" i="44"/>
  <c r="AI15" i="44"/>
  <c r="AO14" i="44"/>
  <c r="AN14" i="44"/>
  <c r="AJ14" i="44"/>
  <c r="AI14" i="44"/>
  <c r="I8" i="56" l="1"/>
  <c r="J7" i="56"/>
  <c r="J7" i="57"/>
  <c r="I8" i="57"/>
  <c r="J8" i="55"/>
  <c r="K7" i="55"/>
  <c r="J8" i="56" l="1"/>
  <c r="K7" i="56"/>
  <c r="K7" i="57"/>
  <c r="J8" i="57"/>
  <c r="K8" i="55"/>
  <c r="L7" i="55"/>
  <c r="AN13" i="44"/>
  <c r="AJ13" i="44"/>
  <c r="AI13" i="44"/>
  <c r="AO12" i="44"/>
  <c r="AN12" i="44"/>
  <c r="AJ12" i="44"/>
  <c r="AI12" i="44"/>
  <c r="AO11" i="44"/>
  <c r="AN11" i="44"/>
  <c r="AO10" i="44"/>
  <c r="AN10" i="44"/>
  <c r="AM10" i="44"/>
  <c r="AJ10" i="44"/>
  <c r="AI10" i="44"/>
  <c r="D8" i="44"/>
  <c r="E7" i="44"/>
  <c r="F7" i="44" s="1"/>
  <c r="A4" i="44"/>
  <c r="L7" i="56" l="1"/>
  <c r="K8" i="56"/>
  <c r="L7" i="57"/>
  <c r="K8" i="57"/>
  <c r="M7" i="55"/>
  <c r="L8" i="55"/>
  <c r="E8" i="44"/>
  <c r="G7" i="44"/>
  <c r="F8" i="44"/>
  <c r="M7" i="56" l="1"/>
  <c r="L8" i="56"/>
  <c r="L8" i="57"/>
  <c r="M7" i="57"/>
  <c r="N7" i="55"/>
  <c r="M8" i="55"/>
  <c r="H7" i="44"/>
  <c r="G8" i="44"/>
  <c r="N7" i="56" l="1"/>
  <c r="M8" i="56"/>
  <c r="M8" i="57"/>
  <c r="N7" i="57"/>
  <c r="N8" i="55"/>
  <c r="O7" i="55"/>
  <c r="I7" i="44"/>
  <c r="H8" i="44"/>
  <c r="N8" i="56" l="1"/>
  <c r="O7" i="56"/>
  <c r="O7" i="57"/>
  <c r="N8" i="57"/>
  <c r="O8" i="55"/>
  <c r="P7" i="55"/>
  <c r="I8" i="44"/>
  <c r="J7" i="44"/>
  <c r="P7" i="56" l="1"/>
  <c r="O8" i="56"/>
  <c r="P7" i="57"/>
  <c r="O8" i="57"/>
  <c r="Q7" i="55"/>
  <c r="P8" i="55"/>
  <c r="J8" i="44"/>
  <c r="K7" i="44"/>
  <c r="P8" i="56" l="1"/>
  <c r="Q7" i="56"/>
  <c r="P8" i="57"/>
  <c r="Q7" i="57"/>
  <c r="R7" i="55"/>
  <c r="Q8" i="55"/>
  <c r="K8" i="44"/>
  <c r="L7" i="44"/>
  <c r="Q8" i="56" l="1"/>
  <c r="R7" i="56"/>
  <c r="R7" i="57"/>
  <c r="Q8" i="57"/>
  <c r="R8" i="55"/>
  <c r="S7" i="55"/>
  <c r="M7" i="44"/>
  <c r="L8" i="44"/>
  <c r="S7" i="56" l="1"/>
  <c r="R8" i="56"/>
  <c r="S7" i="57"/>
  <c r="R8" i="57"/>
  <c r="S8" i="55"/>
  <c r="T7" i="55"/>
  <c r="N7" i="44"/>
  <c r="M8" i="44"/>
  <c r="T7" i="56" l="1"/>
  <c r="S8" i="56"/>
  <c r="T7" i="57"/>
  <c r="S8" i="57"/>
  <c r="U7" i="55"/>
  <c r="T8" i="55"/>
  <c r="O7" i="44"/>
  <c r="N8" i="44"/>
  <c r="U7" i="56" l="1"/>
  <c r="T8" i="56"/>
  <c r="T8" i="57"/>
  <c r="U7" i="57"/>
  <c r="V7" i="55"/>
  <c r="U8" i="55"/>
  <c r="P7" i="44"/>
  <c r="O8" i="44"/>
  <c r="V7" i="56" l="1"/>
  <c r="U8" i="56"/>
  <c r="U8" i="57"/>
  <c r="V7" i="57"/>
  <c r="V8" i="55"/>
  <c r="W7" i="55"/>
  <c r="Q7" i="44"/>
  <c r="P8" i="44"/>
  <c r="W7" i="56" l="1"/>
  <c r="V8" i="56"/>
  <c r="W7" i="57"/>
  <c r="V8" i="57"/>
  <c r="W8" i="55"/>
  <c r="X7" i="55"/>
  <c r="Q8" i="44"/>
  <c r="R7" i="44"/>
  <c r="X7" i="56" l="1"/>
  <c r="W8" i="56"/>
  <c r="X7" i="57"/>
  <c r="W8" i="57"/>
  <c r="Y7" i="55"/>
  <c r="X8" i="55"/>
  <c r="R8" i="44"/>
  <c r="S7" i="44"/>
  <c r="X8" i="56" l="1"/>
  <c r="Y7" i="56"/>
  <c r="X8" i="57"/>
  <c r="Y7" i="57"/>
  <c r="Z7" i="55"/>
  <c r="Y8" i="55"/>
  <c r="S8" i="44"/>
  <c r="T7" i="44"/>
  <c r="Y8" i="56" l="1"/>
  <c r="Z7" i="56"/>
  <c r="Z7" i="57"/>
  <c r="Y8" i="57"/>
  <c r="Z8" i="55"/>
  <c r="AA7" i="55"/>
  <c r="U7" i="44"/>
  <c r="T8" i="44"/>
  <c r="Z8" i="56" l="1"/>
  <c r="AA7" i="56"/>
  <c r="AA7" i="57"/>
  <c r="Z8" i="57"/>
  <c r="AA8" i="55"/>
  <c r="AB7" i="55"/>
  <c r="V7" i="44"/>
  <c r="U8" i="44"/>
  <c r="AB7" i="56" l="1"/>
  <c r="AA8" i="56"/>
  <c r="AB7" i="57"/>
  <c r="AA8" i="57"/>
  <c r="AC7" i="55"/>
  <c r="AB8" i="55"/>
  <c r="W7" i="44"/>
  <c r="V8" i="44"/>
  <c r="AC7" i="56" l="1"/>
  <c r="AB8" i="56"/>
  <c r="AB8" i="57"/>
  <c r="AC7" i="57"/>
  <c r="AD7" i="55"/>
  <c r="AC8" i="55"/>
  <c r="X7" i="44"/>
  <c r="W8" i="44"/>
  <c r="AD7" i="56" l="1"/>
  <c r="AC8" i="56"/>
  <c r="AC8" i="57"/>
  <c r="AD7" i="57"/>
  <c r="AD8" i="55"/>
  <c r="AE7" i="55"/>
  <c r="Y7" i="44"/>
  <c r="X8" i="44"/>
  <c r="AE7" i="56" l="1"/>
  <c r="AD8" i="56"/>
  <c r="AE7" i="57"/>
  <c r="AD8" i="57"/>
  <c r="AE8" i="55"/>
  <c r="AF7" i="55"/>
  <c r="Y8" i="44"/>
  <c r="Z7" i="44"/>
  <c r="AF7" i="56" l="1"/>
  <c r="AE8" i="56"/>
  <c r="AF7" i="57"/>
  <c r="AE8" i="57"/>
  <c r="AG7" i="55"/>
  <c r="AF8" i="55"/>
  <c r="Z8" i="44"/>
  <c r="AA7" i="44"/>
  <c r="AF8" i="56" l="1"/>
  <c r="AG7" i="56"/>
  <c r="AF8" i="57"/>
  <c r="AG7" i="57"/>
  <c r="AH7" i="55"/>
  <c r="AH8" i="55" s="1"/>
  <c r="AG8" i="55"/>
  <c r="AA8" i="44"/>
  <c r="AB7" i="44"/>
  <c r="AG8" i="56" l="1"/>
  <c r="AH7" i="56"/>
  <c r="AH8" i="56" s="1"/>
  <c r="AH7" i="57"/>
  <c r="AH8" i="57" s="1"/>
  <c r="AG8" i="57"/>
  <c r="AC7" i="44"/>
  <c r="AB8" i="44"/>
  <c r="AD7" i="44" l="1"/>
  <c r="AC8" i="44"/>
  <c r="AE7" i="44" l="1"/>
  <c r="AD8" i="44"/>
  <c r="AF7" i="44" l="1"/>
  <c r="AE8" i="44"/>
  <c r="AG7" i="44" l="1"/>
  <c r="AF8" i="44"/>
  <c r="AG8" i="44" l="1"/>
  <c r="AH7" i="44"/>
  <c r="AH8" i="44" s="1"/>
  <c r="E49" i="9" l="1"/>
  <c r="A49" i="9"/>
  <c r="A43" i="9"/>
  <c r="E43" i="9"/>
  <c r="E36" i="9"/>
  <c r="A36" i="9"/>
  <c r="A29" i="9"/>
  <c r="E29" i="9"/>
  <c r="E22" i="9"/>
  <c r="A22" i="9"/>
  <c r="E15" i="9"/>
  <c r="A15" i="9"/>
  <c r="E8" i="9"/>
  <c r="A8" i="9"/>
  <c r="E1" i="9"/>
  <c r="A1" i="9"/>
  <c r="A12" i="19"/>
  <c r="A79" i="19"/>
  <c r="A78" i="19"/>
  <c r="A77" i="19"/>
  <c r="K16" i="19"/>
  <c r="K17" i="19" s="1"/>
  <c r="J16" i="19"/>
  <c r="F16" i="19"/>
  <c r="I14" i="19"/>
  <c r="A15" i="19"/>
  <c r="A16" i="19" s="1"/>
  <c r="I13" i="19"/>
  <c r="G17" i="19"/>
  <c r="F12" i="19"/>
  <c r="I10" i="19"/>
  <c r="J12" i="19"/>
  <c r="J17" i="19" s="1"/>
  <c r="A85" i="16"/>
  <c r="J27" i="16"/>
  <c r="J26" i="16"/>
  <c r="A26" i="16"/>
  <c r="A27" i="16" s="1"/>
  <c r="A28" i="16" s="1"/>
  <c r="J25" i="16"/>
  <c r="J20" i="16"/>
  <c r="J16" i="16"/>
  <c r="J13" i="16"/>
  <c r="J12" i="16"/>
  <c r="A10" i="16"/>
  <c r="A11" i="16" s="1"/>
  <c r="A12" i="16" s="1"/>
  <c r="J9" i="16"/>
  <c r="H32" i="15"/>
  <c r="H27" i="15"/>
  <c r="H21" i="15"/>
  <c r="H25" i="15" s="1"/>
  <c r="G10" i="15"/>
  <c r="G13" i="15"/>
  <c r="G14" i="15"/>
  <c r="G17" i="15"/>
  <c r="G22" i="15"/>
  <c r="G27" i="15"/>
  <c r="G28" i="15"/>
  <c r="G29" i="15"/>
  <c r="G30" i="15"/>
  <c r="A10" i="15"/>
  <c r="A11" i="15" s="1"/>
  <c r="A12" i="15" s="1"/>
  <c r="A13" i="15" s="1"/>
  <c r="K10" i="15"/>
  <c r="K13" i="15"/>
  <c r="K14" i="15"/>
  <c r="K17" i="15"/>
  <c r="K27" i="15"/>
  <c r="K28" i="15"/>
  <c r="K29" i="15"/>
  <c r="K30" i="15"/>
  <c r="L21" i="15"/>
  <c r="L25" i="15" s="1"/>
  <c r="K22" i="15"/>
  <c r="M22" i="15" s="1"/>
  <c r="F25" i="15"/>
  <c r="L27" i="15"/>
  <c r="A28" i="15"/>
  <c r="A29" i="15" s="1"/>
  <c r="A30" i="15" s="1"/>
  <c r="A31" i="15" s="1"/>
  <c r="A32" i="15" s="1"/>
  <c r="A33" i="15" s="1"/>
  <c r="L32" i="15"/>
  <c r="F33" i="15"/>
  <c r="A94" i="15"/>
  <c r="K25" i="13"/>
  <c r="L25" i="13"/>
  <c r="M25" i="13"/>
  <c r="G25" i="13"/>
  <c r="H25" i="13"/>
  <c r="I25" i="13"/>
  <c r="K24" i="13"/>
  <c r="L24" i="13"/>
  <c r="M24" i="13"/>
  <c r="G24" i="13"/>
  <c r="H24" i="13"/>
  <c r="I24" i="13"/>
  <c r="K23" i="13"/>
  <c r="L23" i="13"/>
  <c r="M23" i="13"/>
  <c r="G23" i="13"/>
  <c r="H23" i="13"/>
  <c r="I23" i="13"/>
  <c r="K22" i="13"/>
  <c r="L22" i="13"/>
  <c r="M22" i="13"/>
  <c r="G22" i="13"/>
  <c r="H22" i="13"/>
  <c r="I22" i="13"/>
  <c r="K21" i="13"/>
  <c r="L21" i="13"/>
  <c r="M21" i="13"/>
  <c r="G21" i="13"/>
  <c r="H21" i="13"/>
  <c r="I21" i="13"/>
  <c r="K20" i="13"/>
  <c r="L20" i="13"/>
  <c r="M20" i="13"/>
  <c r="G20" i="13"/>
  <c r="H20" i="13"/>
  <c r="I20" i="13"/>
  <c r="K19" i="13"/>
  <c r="L19" i="13"/>
  <c r="M19" i="13"/>
  <c r="G19" i="13"/>
  <c r="H19" i="13"/>
  <c r="I19" i="13"/>
  <c r="K18" i="13"/>
  <c r="L18" i="13"/>
  <c r="M18" i="13"/>
  <c r="G18" i="13"/>
  <c r="H18" i="13"/>
  <c r="I18" i="13"/>
  <c r="K17" i="13"/>
  <c r="L17" i="13"/>
  <c r="M17" i="13"/>
  <c r="G17" i="13"/>
  <c r="H17" i="13"/>
  <c r="I17" i="13"/>
  <c r="K16" i="13"/>
  <c r="L16" i="13"/>
  <c r="M16" i="13"/>
  <c r="G16" i="13"/>
  <c r="H16" i="13"/>
  <c r="I16" i="13"/>
  <c r="K15" i="13"/>
  <c r="L15" i="13"/>
  <c r="M15" i="13"/>
  <c r="G15" i="13"/>
  <c r="H15" i="13"/>
  <c r="I15" i="13"/>
  <c r="K14" i="13"/>
  <c r="L14" i="13"/>
  <c r="M14" i="13"/>
  <c r="G14" i="13"/>
  <c r="H14" i="13"/>
  <c r="I14" i="13"/>
  <c r="K13" i="13"/>
  <c r="L13" i="13"/>
  <c r="M13" i="13"/>
  <c r="G13" i="13"/>
  <c r="H13" i="13"/>
  <c r="I13" i="13"/>
  <c r="K12" i="13"/>
  <c r="L12" i="13"/>
  <c r="M12" i="13"/>
  <c r="G12" i="13"/>
  <c r="H12" i="13"/>
  <c r="I12" i="13"/>
  <c r="K11" i="13"/>
  <c r="L11" i="13"/>
  <c r="M11" i="13"/>
  <c r="G11" i="13"/>
  <c r="H11" i="13"/>
  <c r="I11" i="13"/>
  <c r="K10" i="13"/>
  <c r="L10" i="13"/>
  <c r="M10" i="13"/>
  <c r="G10" i="13"/>
  <c r="H10" i="13"/>
  <c r="I10" i="13"/>
  <c r="F9" i="13"/>
  <c r="I9" i="13" s="1"/>
  <c r="K8" i="13"/>
  <c r="L8" i="13"/>
  <c r="M8" i="13"/>
  <c r="G8" i="13"/>
  <c r="H8" i="13"/>
  <c r="I8" i="13"/>
  <c r="K7" i="13"/>
  <c r="L7" i="13"/>
  <c r="M7" i="13"/>
  <c r="G7" i="13"/>
  <c r="H7" i="13"/>
  <c r="I7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F25" i="16"/>
  <c r="G25" i="16" s="1"/>
  <c r="G28" i="16" s="1"/>
  <c r="F14" i="16"/>
  <c r="G14" i="16" s="1"/>
  <c r="F18" i="16"/>
  <c r="G18" i="16" s="1"/>
  <c r="F11" i="16"/>
  <c r="G11" i="16" s="1"/>
  <c r="F10" i="16"/>
  <c r="G10" i="16" s="1"/>
  <c r="F22" i="16"/>
  <c r="G22" i="16" s="1"/>
  <c r="F12" i="16"/>
  <c r="G12" i="16" s="1"/>
  <c r="F27" i="16"/>
  <c r="G27" i="16" s="1"/>
  <c r="F19" i="16"/>
  <c r="G19" i="16" s="1"/>
  <c r="F16" i="16"/>
  <c r="G16" i="16" s="1"/>
  <c r="I12" i="19"/>
  <c r="F34" i="15"/>
  <c r="G50" i="9"/>
  <c r="F2" i="9"/>
  <c r="B18" i="9"/>
  <c r="B20" i="9" s="1"/>
  <c r="F76" i="9"/>
  <c r="F78" i="9" s="1"/>
  <c r="B4" i="9"/>
  <c r="B6" i="9" s="1"/>
  <c r="B52" i="9"/>
  <c r="B54" i="9" s="1"/>
  <c r="G23" i="9"/>
  <c r="F9" i="9"/>
  <c r="G2" i="9"/>
  <c r="G9" i="9"/>
  <c r="F44" i="9"/>
  <c r="F52" i="9"/>
  <c r="F54" i="9" s="1"/>
  <c r="C62" i="9"/>
  <c r="B64" i="9"/>
  <c r="B66" i="9" s="1"/>
  <c r="B2" i="9"/>
  <c r="B25" i="9"/>
  <c r="B27" i="9" s="1"/>
  <c r="F16" i="9"/>
  <c r="C50" i="9"/>
  <c r="C30" i="9"/>
  <c r="G56" i="9"/>
  <c r="F58" i="9"/>
  <c r="F60" i="9" s="1"/>
  <c r="F64" i="9"/>
  <c r="F66" i="9" s="1"/>
  <c r="C56" i="9"/>
  <c r="G62" i="9"/>
  <c r="B44" i="9"/>
  <c r="B46" i="9"/>
  <c r="B48" i="9" s="1"/>
  <c r="B23" i="9"/>
  <c r="F74" i="9"/>
  <c r="F70" i="9"/>
  <c r="F72" i="9" s="1"/>
  <c r="G68" i="9"/>
  <c r="B50" i="9"/>
  <c r="F68" i="9"/>
  <c r="G30" i="9"/>
  <c r="G74" i="9"/>
  <c r="B74" i="9"/>
  <c r="F56" i="9"/>
  <c r="B32" i="9"/>
  <c r="B34" i="9" s="1"/>
  <c r="C68" i="9"/>
  <c r="C2" i="9"/>
  <c r="F23" i="9"/>
  <c r="G16" i="9"/>
  <c r="F18" i="9"/>
  <c r="F20" i="9" s="1"/>
  <c r="B37" i="9"/>
  <c r="B16" i="9"/>
  <c r="F50" i="9"/>
  <c r="B30" i="9"/>
  <c r="G44" i="9"/>
  <c r="B39" i="9"/>
  <c r="B41" i="9" s="1"/>
  <c r="F25" i="9"/>
  <c r="F27" i="9" s="1"/>
  <c r="F11" i="9"/>
  <c r="F13" i="9" s="1"/>
  <c r="F62" i="9"/>
  <c r="C74" i="9"/>
  <c r="B58" i="9"/>
  <c r="B60" i="9" s="1"/>
  <c r="C16" i="9"/>
  <c r="B62" i="9"/>
  <c r="B56" i="9"/>
  <c r="F4" i="9"/>
  <c r="F6" i="9" s="1"/>
  <c r="F46" i="9"/>
  <c r="F48" i="9" s="1"/>
  <c r="C44" i="9"/>
  <c r="C23" i="9"/>
  <c r="C37" i="9"/>
  <c r="F39" i="9"/>
  <c r="F41" i="9" s="1"/>
  <c r="F37" i="9"/>
  <c r="B76" i="9"/>
  <c r="B78" i="9" s="1"/>
  <c r="C9" i="9"/>
  <c r="B11" i="9"/>
  <c r="B13" i="9" s="1"/>
  <c r="B9" i="9"/>
  <c r="F30" i="9"/>
  <c r="F32" i="9"/>
  <c r="F34" i="9" s="1"/>
  <c r="G37" i="9"/>
  <c r="B70" i="9"/>
  <c r="B72" i="9" s="1"/>
  <c r="B68" i="9"/>
  <c r="F26" i="16"/>
  <c r="G26" i="16" s="1"/>
  <c r="F17" i="16"/>
  <c r="G17" i="16" s="1"/>
  <c r="F21" i="16"/>
  <c r="G21" i="16" s="1"/>
  <c r="F20" i="16"/>
  <c r="G20" i="16" s="1"/>
  <c r="F15" i="16"/>
  <c r="G15" i="16" s="1"/>
  <c r="F9" i="16"/>
  <c r="G9" i="16" s="1"/>
  <c r="G23" i="16" s="1"/>
  <c r="F13" i="16"/>
  <c r="G13" i="16" s="1"/>
  <c r="C35" i="15"/>
  <c r="N10" i="13" l="1"/>
  <c r="J16" i="13"/>
  <c r="N18" i="13"/>
  <c r="K25" i="15"/>
  <c r="N15" i="13"/>
  <c r="N19" i="13"/>
  <c r="H33" i="15"/>
  <c r="H34" i="15" s="1"/>
  <c r="H9" i="13"/>
  <c r="N24" i="13"/>
  <c r="M19" i="15"/>
  <c r="G9" i="13"/>
  <c r="G26" i="13" s="1"/>
  <c r="K9" i="13"/>
  <c r="K26" i="13" s="1"/>
  <c r="L33" i="15"/>
  <c r="L34" i="15" s="1"/>
  <c r="F26" i="13"/>
  <c r="L9" i="13"/>
  <c r="L26" i="13" s="1"/>
  <c r="M9" i="13"/>
  <c r="M26" i="13" s="1"/>
  <c r="N8" i="13"/>
  <c r="K33" i="15"/>
  <c r="F17" i="19"/>
  <c r="N14" i="13"/>
  <c r="N20" i="13"/>
  <c r="G33" i="15"/>
  <c r="G25" i="15"/>
  <c r="N16" i="13"/>
  <c r="I26" i="13"/>
  <c r="N7" i="13"/>
  <c r="J8" i="13"/>
  <c r="J11" i="13"/>
  <c r="J12" i="13"/>
  <c r="J13" i="13"/>
  <c r="N13" i="13"/>
  <c r="J17" i="13"/>
  <c r="N17" i="13"/>
  <c r="J18" i="13"/>
  <c r="J19" i="13"/>
  <c r="J21" i="13"/>
  <c r="J22" i="13"/>
  <c r="J23" i="13"/>
  <c r="N23" i="13"/>
  <c r="J24" i="13"/>
  <c r="J25" i="13"/>
  <c r="N25" i="13"/>
  <c r="A87" i="16"/>
  <c r="A13" i="16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9" i="16" s="1"/>
  <c r="N11" i="13"/>
  <c r="J20" i="13"/>
  <c r="N21" i="13"/>
  <c r="A17" i="19"/>
  <c r="J7" i="13"/>
  <c r="J14" i="13"/>
  <c r="J15" i="13"/>
  <c r="G29" i="16"/>
  <c r="A14" i="15"/>
  <c r="A15" i="15" s="1"/>
  <c r="A16" i="15" s="1"/>
  <c r="A96" i="15"/>
  <c r="N12" i="13"/>
  <c r="J10" i="13"/>
  <c r="N22" i="13"/>
  <c r="K34" i="15" l="1"/>
  <c r="J9" i="13"/>
  <c r="H26" i="13"/>
  <c r="N9" i="13"/>
  <c r="N26" i="13" s="1"/>
  <c r="G34" i="15"/>
  <c r="A86" i="16"/>
  <c r="J26" i="13"/>
  <c r="A95" i="15"/>
  <c r="A17" i="15"/>
  <c r="A18" i="15" s="1"/>
  <c r="A19" i="15" s="1"/>
  <c r="A20" i="15" s="1"/>
  <c r="A21" i="15" s="1"/>
  <c r="A22" i="15" s="1"/>
  <c r="A23" i="15" s="1"/>
  <c r="A24" i="15" s="1"/>
  <c r="A25" i="15" s="1"/>
  <c r="A34" i="15" s="1"/>
</calcChain>
</file>

<file path=xl/sharedStrings.xml><?xml version="1.0" encoding="utf-8"?>
<sst xmlns="http://schemas.openxmlformats.org/spreadsheetml/2006/main" count="2338" uniqueCount="334">
  <si>
    <t>STT</t>
  </si>
  <si>
    <t>---o0o---</t>
  </si>
  <si>
    <t>----------------------------------------</t>
  </si>
  <si>
    <t>TỔNG CỘNG</t>
  </si>
  <si>
    <t>Người lập</t>
  </si>
  <si>
    <t>CỘNG HÒA XÃ HỘI CHỦ NGHĨA VIỆT NAM</t>
  </si>
  <si>
    <t>Độc lập - Tự do - Hạnh Phúc</t>
  </si>
  <si>
    <t>SỐ SỔ BHXH</t>
  </si>
  <si>
    <t>HỌ VÀ TÊN</t>
  </si>
  <si>
    <t>CHỨC VỤ</t>
  </si>
  <si>
    <t>HỆ SỐ</t>
  </si>
  <si>
    <t>Lương cơ bản</t>
  </si>
  <si>
    <t>KÝ NHẬN</t>
  </si>
  <si>
    <t xml:space="preserve">Người lập </t>
  </si>
  <si>
    <t>Người nhận</t>
  </si>
  <si>
    <t>Số sổ BHXH</t>
  </si>
  <si>
    <t>Số tiền</t>
  </si>
  <si>
    <t>Tổng cộng</t>
  </si>
  <si>
    <t>Cộng trong tháng</t>
  </si>
  <si>
    <t>Còn lại</t>
  </si>
  <si>
    <t>NV.BV</t>
  </si>
  <si>
    <t>Trừ 1 ngày LTT</t>
  </si>
  <si>
    <t>Thu 1ngày lương</t>
  </si>
  <si>
    <t>TRẦN VĂN</t>
  </si>
  <si>
    <t>HẢI</t>
  </si>
  <si>
    <t>DŨNG</t>
  </si>
  <si>
    <t>TẠ ĐĂNG</t>
  </si>
  <si>
    <t>0205262801</t>
  </si>
  <si>
    <t>THI</t>
  </si>
  <si>
    <t xml:space="preserve">LÊ ĐÌNH </t>
  </si>
  <si>
    <t>0205262798</t>
  </si>
  <si>
    <t>LINH</t>
  </si>
  <si>
    <t>0296021684</t>
  </si>
  <si>
    <t>HAI</t>
  </si>
  <si>
    <t>NGUYỄN THỊ</t>
  </si>
  <si>
    <t>THÚY</t>
  </si>
  <si>
    <t>NGUYỄN NGỌC</t>
  </si>
  <si>
    <t>NGUYỄN THÀNH</t>
  </si>
  <si>
    <t>0296021672</t>
  </si>
  <si>
    <t>Trưởng ban</t>
  </si>
  <si>
    <t>KT+VTHC</t>
  </si>
  <si>
    <t>TV7</t>
  </si>
  <si>
    <t>TV8</t>
  </si>
  <si>
    <t>LÊ HỮU ĐĂNG</t>
  </si>
  <si>
    <t>KHOA</t>
  </si>
  <si>
    <t>LONG</t>
  </si>
  <si>
    <t>NGUYỄN VĂN</t>
  </si>
  <si>
    <t>VÕ THỊ BÍCH</t>
  </si>
  <si>
    <t>LOAN</t>
  </si>
  <si>
    <t>NV.PV</t>
  </si>
  <si>
    <t>TV10</t>
  </si>
  <si>
    <t>TV11</t>
  </si>
  <si>
    <t>HƯƠNG</t>
  </si>
  <si>
    <t>THỦY</t>
  </si>
  <si>
    <t>VÕ NGỌC</t>
  </si>
  <si>
    <t>NGUYỄN THỊ BÍCH</t>
  </si>
  <si>
    <t>VÂN</t>
  </si>
  <si>
    <t>NGUYỄN THỊ  HỒNG</t>
  </si>
  <si>
    <t>YẾN</t>
  </si>
  <si>
    <t>TV13</t>
  </si>
  <si>
    <t>TV14</t>
  </si>
  <si>
    <t>TV15</t>
  </si>
  <si>
    <t>TV16</t>
  </si>
  <si>
    <t>TV17</t>
  </si>
  <si>
    <t>LÊ THỊ</t>
  </si>
  <si>
    <t>LỢI</t>
  </si>
  <si>
    <t>0296024308</t>
  </si>
  <si>
    <t xml:space="preserve">NGUYỄN HOÀI </t>
  </si>
  <si>
    <t>NHÂN</t>
  </si>
  <si>
    <t>NV</t>
  </si>
  <si>
    <t>TV18</t>
  </si>
  <si>
    <t>CD1</t>
  </si>
  <si>
    <t>TRẦN MINH</t>
  </si>
  <si>
    <t>HIỀN</t>
  </si>
  <si>
    <t>ĐẶNG VĂN</t>
  </si>
  <si>
    <t>VŨ</t>
  </si>
  <si>
    <t xml:space="preserve">6% Bảo hiểm xã hội </t>
  </si>
  <si>
    <t xml:space="preserve">1,5% BHYT </t>
  </si>
  <si>
    <t>TỨ</t>
  </si>
  <si>
    <t>LƯƠNG VĂN</t>
  </si>
  <si>
    <t>TV19</t>
  </si>
  <si>
    <t>1/2/2010</t>
  </si>
  <si>
    <t>Kỹ sư CĐ</t>
  </si>
  <si>
    <t>NGUYỄN T.HỒNG</t>
  </si>
  <si>
    <t>NGUYỄN T.BÍCH</t>
  </si>
  <si>
    <t>NGUYỄN T.THU</t>
  </si>
  <si>
    <t>BV1</t>
  </si>
  <si>
    <t>LÊ SỈ ANH</t>
  </si>
  <si>
    <t>QUANG</t>
  </si>
  <si>
    <t>TP.BV</t>
  </si>
  <si>
    <t>Độc Lập - Tự Do - Hạnh Phúc</t>
  </si>
  <si>
    <t>NGUYỄN V.KIỆT</t>
  </si>
  <si>
    <t>EM</t>
  </si>
  <si>
    <t>HUỲNH NGỌC</t>
  </si>
  <si>
    <t>TRUNG</t>
  </si>
  <si>
    <t>CTY CP XNK KHÁNH HỘI</t>
  </si>
  <si>
    <t>BQT.CHUNG CƯ KH 2</t>
  </si>
  <si>
    <t>CHỨC DANH</t>
  </si>
  <si>
    <t>HỆ SỐ LƯƠNG</t>
  </si>
  <si>
    <t>Người lao động đóng</t>
  </si>
  <si>
    <t>Người sử dụng lao động đóng</t>
  </si>
  <si>
    <t>Ghi chú</t>
  </si>
  <si>
    <t xml:space="preserve">1% BHTN </t>
  </si>
  <si>
    <t xml:space="preserve">16% Bảo hiểm xã hội </t>
  </si>
  <si>
    <t xml:space="preserve">3% BHYT </t>
  </si>
  <si>
    <t>DANH SÁCH NỘP BHXH, BHYT, BHTN THÁNG 2/2011</t>
  </si>
  <si>
    <t>Ngày   20    tháng  04  năm  2011</t>
  </si>
  <si>
    <t>0200121482</t>
  </si>
  <si>
    <t>LÝ PHONG</t>
  </si>
  <si>
    <t>QUÝ</t>
  </si>
  <si>
    <t>NGUYỄN BÁ</t>
  </si>
  <si>
    <t>MINH</t>
  </si>
  <si>
    <t xml:space="preserve">NGUYỄN </t>
  </si>
  <si>
    <t>PHAN T.TUYẾT</t>
  </si>
  <si>
    <t>MAI</t>
  </si>
  <si>
    <t>360B BẾN VÂN ĐỒN P1 Q4</t>
  </si>
  <si>
    <t>Nguyễn Thị Cẩm</t>
  </si>
  <si>
    <t>Lê Thị Tuyết</t>
  </si>
  <si>
    <t xml:space="preserve"> Giám đốc</t>
  </si>
  <si>
    <t xml:space="preserve">Số tiền bằng chữ : </t>
  </si>
  <si>
    <t>NV.Kỹ thuật</t>
  </si>
  <si>
    <t>KT</t>
  </si>
  <si>
    <t>Kế toán trưởng</t>
  </si>
  <si>
    <t>CỘNG:</t>
  </si>
  <si>
    <t xml:space="preserve">LÊ VĂN </t>
  </si>
  <si>
    <t>LẮM</t>
  </si>
  <si>
    <t xml:space="preserve">HOÀNG TIẾN </t>
  </si>
  <si>
    <t>HẬU</t>
  </si>
  <si>
    <t>HOÀNG TIẾN</t>
  </si>
  <si>
    <t>CaT.BV</t>
  </si>
  <si>
    <t>THIỆN</t>
  </si>
  <si>
    <t xml:space="preserve">PHẠM ANH </t>
  </si>
  <si>
    <t>7911017662</t>
  </si>
  <si>
    <t xml:space="preserve">BV, PV CHUNG CƯ KHÁNH HỘI 2 </t>
  </si>
  <si>
    <t>HẦM XE:</t>
  </si>
  <si>
    <t xml:space="preserve">PHẠM THỊ </t>
  </si>
  <si>
    <t>CAT.BV</t>
  </si>
  <si>
    <t>NVBV</t>
  </si>
  <si>
    <t xml:space="preserve">ĐỖ ĐỨC </t>
  </si>
  <si>
    <t>Ca T.BV</t>
  </si>
  <si>
    <t>Ca T. BV</t>
  </si>
  <si>
    <t>020435921</t>
  </si>
  <si>
    <t>BV.1</t>
  </si>
  <si>
    <t>T7/12</t>
  </si>
  <si>
    <t>Ca T.PV</t>
  </si>
  <si>
    <t>CT.BV</t>
  </si>
  <si>
    <t xml:space="preserve">LÊ HIỀN </t>
  </si>
  <si>
    <t>SỈ</t>
  </si>
  <si>
    <t xml:space="preserve">VÕ VĂN </t>
  </si>
  <si>
    <t>KHEN</t>
  </si>
  <si>
    <t>BV.2</t>
  </si>
  <si>
    <t>NV KTh</t>
  </si>
  <si>
    <t>C TY TNHH MTV DV QL CAO ỐC KHÁNH HỘI</t>
  </si>
  <si>
    <t>TT.BV</t>
  </si>
  <si>
    <t>PHỤ CẤP</t>
  </si>
  <si>
    <t xml:space="preserve">BÙI VĂN </t>
  </si>
  <si>
    <t>NAM</t>
  </si>
  <si>
    <t>NV.TV</t>
  </si>
  <si>
    <t>BẢNG LƯƠNG TẠM ỨNG THÁNG 05 NĂM 2013</t>
  </si>
  <si>
    <t>0202048116</t>
  </si>
  <si>
    <t xml:space="preserve">TẠ HẢI </t>
  </si>
  <si>
    <t>PBQLCC</t>
  </si>
  <si>
    <t>MỨC LƯƠNG KHOÁN</t>
  </si>
  <si>
    <t>PHUCẤP</t>
  </si>
  <si>
    <t>Ngày    tháng 05  năm  2013</t>
  </si>
  <si>
    <t>CHUNG CƯ KHÁNH HỘI 2:</t>
  </si>
  <si>
    <t>BV.3</t>
  </si>
  <si>
    <t xml:space="preserve">TRẦN PHƯỚC </t>
  </si>
  <si>
    <t>bvhx</t>
  </si>
  <si>
    <t>PHIẾU LƯƠNG KỲ 1 THÁNG 10/2013</t>
  </si>
  <si>
    <t xml:space="preserve">   Hà Thị Hớn</t>
  </si>
  <si>
    <t>Hà Thị Hớn</t>
  </si>
  <si>
    <t xml:space="preserve">CÔNG TY TNHH MTV DV </t>
  </si>
  <si>
    <t>QUẢN LÝ CAO Ốc KHÁNH HỘI</t>
  </si>
  <si>
    <t>Họ và tên</t>
  </si>
  <si>
    <t>Bộ phận</t>
  </si>
  <si>
    <t>Thu nhập trong tháng</t>
  </si>
  <si>
    <t>1% Đoàn phí công đoàn</t>
  </si>
  <si>
    <t>Ký tên</t>
  </si>
  <si>
    <t>CỘNG</t>
  </si>
  <si>
    <t>Ngày     tháng 12  năm 2013</t>
  </si>
  <si>
    <t>Chủ tịch công đoàn</t>
  </si>
  <si>
    <t xml:space="preserve"> BV, PV CHUNG CƯ KHÁNH HỘI 2 </t>
  </si>
  <si>
    <t>DANH SÁCH NHẬN THẺ BẢO HiỂM Y TẾ</t>
  </si>
  <si>
    <t>--------</t>
  </si>
  <si>
    <t>HIEU</t>
  </si>
  <si>
    <t>CTRAN</t>
  </si>
  <si>
    <t>VTHONG</t>
  </si>
  <si>
    <t xml:space="preserve">Kế toán </t>
  </si>
  <si>
    <t>PHƯỢNG</t>
  </si>
  <si>
    <t>thiphuong</t>
  </si>
  <si>
    <t>SĨ</t>
  </si>
  <si>
    <t>XSON</t>
  </si>
  <si>
    <t>PHAN THỊ</t>
  </si>
  <si>
    <t>TBACH</t>
  </si>
  <si>
    <t>BẠCH</t>
  </si>
  <si>
    <t>MÃ SỐ</t>
  </si>
  <si>
    <t>TRẦN THỊ</t>
  </si>
  <si>
    <t>LÊ HIIỀN</t>
  </si>
  <si>
    <t>360D BẾN VÂN ĐỒN P1 Q4</t>
  </si>
  <si>
    <t>Ngày  13  tháng 02  năm  2015</t>
  </si>
  <si>
    <t>DANH SÁCH NHẬN QUÀ TẾT CBNV CHƯA PHẢI LÀ ĐVCĐ</t>
  </si>
  <si>
    <t>GHI CHÚ</t>
  </si>
  <si>
    <t>HHAI</t>
  </si>
  <si>
    <t>CTHIEN</t>
  </si>
  <si>
    <t>PPHU</t>
  </si>
  <si>
    <t>PHIẾU LƯƠNG KỲ 1 THÁNG 8/2015</t>
  </si>
  <si>
    <t>Trừ 1 ngày lương</t>
  </si>
  <si>
    <t>Chức vụ</t>
  </si>
  <si>
    <t>Ngày trong tháng</t>
  </si>
  <si>
    <t>Ngày nghỉ</t>
  </si>
  <si>
    <t>Công làm thêm</t>
  </si>
  <si>
    <t>Ngày làm việc theo quy định</t>
  </si>
  <si>
    <t>P</t>
  </si>
  <si>
    <t>Lễ,
Tết</t>
  </si>
  <si>
    <t>Nghỉ Lễ, Tết</t>
  </si>
  <si>
    <t>T7</t>
  </si>
  <si>
    <t>Nb</t>
  </si>
  <si>
    <t>F</t>
  </si>
  <si>
    <t>Ô</t>
  </si>
  <si>
    <t>1/p</t>
  </si>
  <si>
    <t>F1</t>
  </si>
  <si>
    <t>1/lt</t>
  </si>
  <si>
    <t>-</t>
  </si>
  <si>
    <t>X</t>
  </si>
  <si>
    <t>: Hưởng lương (HL).</t>
  </si>
  <si>
    <t>: Nửa ngày.</t>
  </si>
  <si>
    <t>* Ghi chú:</t>
  </si>
  <si>
    <t>: Chấm công làm chính.</t>
  </si>
  <si>
    <t>: Nghỉ phép.</t>
  </si>
  <si>
    <t>: Nữa ngày phép và nữa ngày làm</t>
  </si>
  <si>
    <t>: Chấm công làm thêm giờ. (nếu làm theo giờ thì ghi rõ số giờ)</t>
  </si>
  <si>
    <t>: Ốm.</t>
  </si>
  <si>
    <t>: Làm ngày nghỉ lễ, tết</t>
  </si>
  <si>
    <t>R</t>
  </si>
  <si>
    <t>: Việc riêng</t>
  </si>
  <si>
    <t>Ts</t>
  </si>
  <si>
    <t>: Thai sản.</t>
  </si>
  <si>
    <t>L,T</t>
  </si>
  <si>
    <t>: Nghỉ lễ,tết</t>
  </si>
  <si>
    <t>: Nghỉ bù</t>
  </si>
  <si>
    <t>1/2</t>
  </si>
  <si>
    <t>OF</t>
  </si>
  <si>
    <t>Giờ
tăng ca</t>
  </si>
  <si>
    <t>: Làm ngày chủ nhật, ngày nghỉ hàng tuần</t>
  </si>
  <si>
    <t>CĐ</t>
  </si>
  <si>
    <t>: Nghỉ chế độ (gồm: kết hôn, tang chế, nghỉ mát)</t>
  </si>
  <si>
    <t>1/F1</t>
  </si>
  <si>
    <t>: Làm nửa ngày chủ nhật hoặc nửa ngày nghỉ hàng tuần</t>
  </si>
  <si>
    <t>ĐH</t>
  </si>
  <si>
    <t>: Được cử đi học hoặc đi họp</t>
  </si>
  <si>
    <t>: Làm nửa ngày lễ, tết</t>
  </si>
  <si>
    <t>: Ngày nghỉ hàng tuần</t>
  </si>
  <si>
    <t>P/CĐ</t>
  </si>
  <si>
    <t>Chủ nhật, Ngày nghỉ hàng tuần</t>
  </si>
  <si>
    <t>VR/Ô/Ts</t>
  </si>
  <si>
    <t>01</t>
  </si>
  <si>
    <t xml:space="preserve">: click vào ô này để điều chỉnh tháng của dòng chữ </t>
  </si>
  <si>
    <t>Mỗi tháng phải cập nhật lại các thứ trong tháng với cách viết theo mẫu</t>
  </si>
  <si>
    <t>* Ký hiệu :</t>
  </si>
  <si>
    <t>CÔNG TY CỔ PHẦN QUẢN LÝ VÀ VẬN HÀNH CAO ỐC KHÁNH HỘI</t>
  </si>
  <si>
    <t>TRẦN NGUYỄN ANH THƯ</t>
  </si>
  <si>
    <t>Trưởng Ban Quản Lý</t>
  </si>
  <si>
    <t>Người chấm công</t>
  </si>
  <si>
    <t>BẢNG CHẤM CÔNG THÁNG  NĂM 2023</t>
  </si>
  <si>
    <t>TRẦN ĐỨC ANH</t>
  </si>
  <si>
    <t>CAO HỒNG PHÚC</t>
  </si>
  <si>
    <t>Trưởng BQL</t>
  </si>
  <si>
    <t>KST</t>
  </si>
  <si>
    <t>Kế Toán</t>
  </si>
  <si>
    <t>CSKH</t>
  </si>
  <si>
    <t>BỘ PHẬN: CHUNG CƯ SAMSORA RIVERSIDE</t>
  </si>
  <si>
    <t>TRẦN THẾ KỶ</t>
  </si>
  <si>
    <t>LÊ BÁ TÂY</t>
  </si>
  <si>
    <t>GSDV</t>
  </si>
  <si>
    <t>NV.Kỹ.T</t>
  </si>
  <si>
    <t>NV.Tạp Vụ</t>
  </si>
  <si>
    <t>NGUYỄN THỊ NGỌC HOA</t>
  </si>
  <si>
    <t>NGUYỄN XUÂN HÙNG</t>
  </si>
  <si>
    <t>NV.Cây Xanh</t>
  </si>
  <si>
    <t>NV. Bảo Vệ</t>
  </si>
  <si>
    <t>TRẦN MINH NHỰT</t>
  </si>
  <si>
    <t>TRẦN NGỌC NAM</t>
  </si>
  <si>
    <t>PHẠM VĂN TƯỢNG</t>
  </si>
  <si>
    <t>ĐẶNG VIẾT ĐÌNH</t>
  </si>
  <si>
    <t>NG. THỊ HỒNG NGUYỆT</t>
  </si>
  <si>
    <t>DƯƠNG CẨM THÚY</t>
  </si>
  <si>
    <t>NV.Kéo rác</t>
  </si>
  <si>
    <t>HUỲNH THỊ HỮU HẠNH</t>
  </si>
  <si>
    <t>VÕ VĂN VỮNG</t>
  </si>
  <si>
    <t>Ca Trưởng BV 
(Ca Sáng)</t>
  </si>
  <si>
    <t>HUỲNH TẤN LỘC</t>
  </si>
  <si>
    <t>NGUYỄN HUỲNH PHƯƠNG THẢO</t>
  </si>
  <si>
    <t>VĂN THỊ LONG</t>
  </si>
  <si>
    <t>HỒ TUẤN VŨ</t>
  </si>
  <si>
    <t>PHAN THỊ VUI</t>
  </si>
  <si>
    <t>Tổ trưởng Tạp Vụ</t>
  </si>
  <si>
    <t>HỒ TUẤN KIỆT</t>
  </si>
  <si>
    <t>HUỲNH T. THU TRANG</t>
  </si>
  <si>
    <t>LÊ VĂN NGUYÊN</t>
  </si>
  <si>
    <t>Tổ Trưởng Kéo rác</t>
  </si>
  <si>
    <t>HUỲNH THỊ PHƯỚC</t>
  </si>
  <si>
    <t>PHẠM THỊ MAI</t>
  </si>
  <si>
    <t>PHẠM THỊ PHƯỢNG</t>
  </si>
  <si>
    <t>VŨ XUÂN TRƯỜNG</t>
  </si>
  <si>
    <t>NGUYỄN VĂN PHONG</t>
  </si>
  <si>
    <t>Ngày         tháng         năm 2025</t>
  </si>
  <si>
    <t>NGUYỄN HUỲNH BẢO TRÂN</t>
  </si>
  <si>
    <t>TRẦN THANH SANG</t>
  </si>
  <si>
    <t>NGUYỄN TRỌNG HIẾU</t>
  </si>
  <si>
    <t>PHẠM VĂN TÀU</t>
  </si>
  <si>
    <t>TRẦN ĐÌNH TRIỆU</t>
  </si>
  <si>
    <t>Ca Trưởng BV 
(Ca Tối)</t>
  </si>
  <si>
    <t>ĐỖ THỊ THÚY</t>
  </si>
  <si>
    <t>LÊ THANH DŨNG</t>
  </si>
  <si>
    <t>PHẠM THỊ THU HỒNG</t>
  </si>
  <si>
    <t>NGÔ VĂN DŨNG</t>
  </si>
  <si>
    <t>Phó Tổng Giám Đốc</t>
  </si>
  <si>
    <t>Trần Nguyễn Anh Thư</t>
  </si>
  <si>
    <t>Cao Hồng Phúc</t>
  </si>
  <si>
    <t>Vương Đình Hoàng</t>
  </si>
  <si>
    <t>NGUYỄN HỮU MINH</t>
  </si>
  <si>
    <t>NV Hồ bơi</t>
  </si>
  <si>
    <t>: Hưởng lương (HL)</t>
  </si>
  <si>
    <t>ĐỖ VĂN KHẢI</t>
  </si>
  <si>
    <t>NGUYỄN TẤN VINH</t>
  </si>
  <si>
    <t xml:space="preserve">TRƯƠNG MỸ NGA </t>
  </si>
  <si>
    <t>LƯƠNG VĂN TRỌN</t>
  </si>
  <si>
    <t>TRẦN HOÀNG THAO</t>
  </si>
  <si>
    <t>ĐỖ THỊ TUYẾT HỒNG</t>
  </si>
  <si>
    <t>NGUYỄN QUỐC DUY</t>
  </si>
  <si>
    <t>HUỲNH PHƯỚC NHẪN</t>
  </si>
  <si>
    <t>PHAN LÊ HOÀNG VI</t>
  </si>
  <si>
    <t>PHẠM DUY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</si>
</sst>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??_);_(@_)"/>
    <numFmt numFmtId="167" formatCode="_(* #,##0_);_(* \(#,##0\);_(* &quot;-&quot;??_);_(@_)"/>
    <numFmt numFmtId="168" formatCode="_(* #,##0.00_);_(* \(#,##0.00\);_(* &quot;-&quot;_);_(@_)"/>
    <numFmt numFmtId="169" formatCode="&quot;\&quot;#,##0;[Red]&quot;\&quot;\-#,##0"/>
    <numFmt numFmtId="170" formatCode="&quot;\&quot;#,##0.00;[Red]&quot;\&quot;\-#,##0.00"/>
    <numFmt numFmtId="171" formatCode="_ * #,##0.000000_ ;_ * \-#,##0.000000_ ;_ * &quot;-&quot;_ ;_ @_ "/>
    <numFmt numFmtId="172" formatCode="&quot;\&quot;#,##0;[Red]&quot;\&quot;&quot;\&quot;\-#,##0"/>
    <numFmt numFmtId="173" formatCode="&quot;\&quot;#,##0.00;[Red]&quot;\&quot;&quot;\&quot;&quot;\&quot;&quot;\&quot;&quot;\&quot;&quot;\&quot;\-#,##0.00"/>
    <numFmt numFmtId="174" formatCode="_(* #,##0.0_);_(* \(#,##0.0\);_(* &quot;-&quot;_);_(@_)"/>
    <numFmt numFmtId="175" formatCode="dd"/>
    <numFmt numFmtId="176" formatCode="_(* #,##0.0_);_(* \(#,##0.0\);_(* &quot;-&quot;?_);_(@_)"/>
  </numFmts>
  <fonts count="66">
    <font>
      <sz val="11"/>
      <name val="VNI-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0"/>
      <name val="Arial"/>
      <family val="2"/>
    </font>
    <font>
      <sz val="10"/>
      <name val="VNI-Centur"/>
    </font>
    <font>
      <sz val="10"/>
      <name val="VNI-Times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Book Antiqua"/>
      <family val="1"/>
    </font>
    <font>
      <sz val="7"/>
      <name val="Small Fonts"/>
      <family val="2"/>
    </font>
    <font>
      <sz val="12"/>
      <name val="VNI-Times"/>
    </font>
    <font>
      <sz val="12"/>
      <name val="Book Antiqua"/>
      <family val="1"/>
    </font>
    <font>
      <b/>
      <sz val="11"/>
      <name val="VNI-Goudy"/>
    </font>
    <font>
      <b/>
      <sz val="10"/>
      <name val="VNI-Goudy"/>
    </font>
    <font>
      <b/>
      <sz val="24"/>
      <name val="Book Antiqua"/>
      <family val="1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name val="VNI-Times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12"/>
      <name val="Times New Roman"/>
      <family val="1"/>
    </font>
    <font>
      <b/>
      <sz val="1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indexed="12"/>
      <name val="Times New Roman"/>
      <family val="1"/>
    </font>
    <font>
      <b/>
      <sz val="12"/>
      <color indexed="12"/>
      <name val="Times New Roman"/>
      <family val="1"/>
    </font>
    <font>
      <b/>
      <sz val="12"/>
      <name val="Times New Roman"/>
      <family val="1"/>
    </font>
    <font>
      <sz val="11"/>
      <color indexed="12"/>
      <name val="Times New Roman"/>
      <family val="1"/>
    </font>
    <font>
      <sz val="9"/>
      <color indexed="12"/>
      <name val="Times New Roman"/>
      <family val="1"/>
    </font>
    <font>
      <b/>
      <u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6"/>
      <name val="Times New Roman"/>
      <family val="1"/>
    </font>
    <font>
      <b/>
      <sz val="12"/>
      <color indexed="10"/>
      <name val="Times New Roman"/>
      <family val="1"/>
    </font>
    <font>
      <b/>
      <u/>
      <sz val="13"/>
      <color indexed="8"/>
      <name val="Times New Roman"/>
      <family val="1"/>
    </font>
    <font>
      <b/>
      <sz val="13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2"/>
      <color indexed="10"/>
      <name val="Times New Roman"/>
      <family val="1"/>
    </font>
    <font>
      <b/>
      <sz val="11"/>
      <color indexed="20"/>
      <name val="Times New Roman"/>
      <family val="1"/>
    </font>
    <font>
      <sz val="12"/>
      <name val="VNI-Centur"/>
    </font>
    <font>
      <sz val="9"/>
      <color indexed="10"/>
      <name val="Times New Roman"/>
      <family val="1"/>
    </font>
    <font>
      <b/>
      <u/>
      <sz val="12"/>
      <name val="Times New Roman"/>
      <family val="1"/>
    </font>
    <font>
      <sz val="12"/>
      <name val="VN-NTime"/>
    </font>
    <font>
      <b/>
      <sz val="14"/>
      <name val="Times New Roman"/>
      <family val="1"/>
    </font>
    <font>
      <b/>
      <u val="singleAccounting"/>
      <sz val="12"/>
      <name val="Times New Roman"/>
      <family val="1"/>
    </font>
    <font>
      <b/>
      <u val="singleAccounting"/>
      <sz val="13"/>
      <color indexed="8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2.5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165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8" fillId="2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8" fillId="3" borderId="3" applyNumberFormat="0" applyBorder="0" applyAlignment="0" applyProtection="0"/>
    <xf numFmtId="3" fontId="11" fillId="0" borderId="4"/>
    <xf numFmtId="37" fontId="12" fillId="0" borderId="0"/>
    <xf numFmtId="171" fontId="5" fillId="0" borderId="0"/>
    <xf numFmtId="0" fontId="6" fillId="0" borderId="0"/>
    <xf numFmtId="0" fontId="13" fillId="0" borderId="0"/>
    <xf numFmtId="0" fontId="7" fillId="0" borderId="0"/>
    <xf numFmtId="0" fontId="7" fillId="0" borderId="0"/>
    <xf numFmtId="10" fontId="5" fillId="0" borderId="0" applyFont="0" applyFill="0" applyBorder="0" applyAlignment="0" applyProtection="0"/>
    <xf numFmtId="3" fontId="14" fillId="0" borderId="5"/>
    <xf numFmtId="0" fontId="15" fillId="0" borderId="6" applyBorder="0">
      <alignment horizontal="center"/>
    </xf>
    <xf numFmtId="0" fontId="15" fillId="0" borderId="7">
      <alignment horizontal="center"/>
    </xf>
    <xf numFmtId="0" fontId="15" fillId="0" borderId="6">
      <alignment horizontal="centerContinuous"/>
    </xf>
    <xf numFmtId="0" fontId="16" fillId="0" borderId="8">
      <alignment horizontal="center"/>
    </xf>
    <xf numFmtId="0" fontId="16" fillId="0" borderId="6" applyBorder="0">
      <alignment horizontal="center"/>
    </xf>
    <xf numFmtId="0" fontId="17" fillId="0" borderId="0">
      <alignment horizontal="centerContinuous"/>
    </xf>
    <xf numFmtId="0" fontId="5" fillId="0" borderId="9" applyNumberFormat="0" applyFont="0" applyFill="0" applyAlignment="0" applyProtection="0"/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19" fillId="0" borderId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0" fontId="21" fillId="0" borderId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</cellStyleXfs>
  <cellXfs count="604">
    <xf numFmtId="0" fontId="0" fillId="0" borderId="0" xfId="0"/>
    <xf numFmtId="0" fontId="28" fillId="0" borderId="0" xfId="0" applyFont="1"/>
    <xf numFmtId="0" fontId="27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28" fillId="0" borderId="10" xfId="0" applyFont="1" applyBorder="1"/>
    <xf numFmtId="0" fontId="29" fillId="0" borderId="0" xfId="0" applyFont="1"/>
    <xf numFmtId="165" fontId="28" fillId="0" borderId="11" xfId="17" applyNumberFormat="1" applyFont="1" applyBorder="1" applyAlignment="1">
      <alignment horizontal="left"/>
    </xf>
    <xf numFmtId="0" fontId="30" fillId="0" borderId="4" xfId="0" applyFont="1" applyBorder="1" applyAlignment="1">
      <alignment horizontal="center" vertical="center" wrapText="1"/>
    </xf>
    <xf numFmtId="0" fontId="27" fillId="0" borderId="0" xfId="0" applyFont="1"/>
    <xf numFmtId="165" fontId="24" fillId="0" borderId="4" xfId="1" applyFont="1" applyBorder="1" applyAlignment="1">
      <alignment horizontal="center"/>
    </xf>
    <xf numFmtId="167" fontId="33" fillId="0" borderId="4" xfId="1" applyNumberFormat="1" applyFont="1" applyBorder="1" applyAlignment="1">
      <alignment horizontal="center"/>
    </xf>
    <xf numFmtId="1" fontId="31" fillId="0" borderId="12" xfId="17" quotePrefix="1" applyNumberFormat="1" applyFont="1" applyBorder="1" applyAlignment="1">
      <alignment horizontal="centerContinuous" vertical="center"/>
    </xf>
    <xf numFmtId="0" fontId="28" fillId="0" borderId="0" xfId="0" applyFont="1" applyAlignment="1">
      <alignment vertical="center"/>
    </xf>
    <xf numFmtId="0" fontId="31" fillId="0" borderId="0" xfId="16" applyFont="1"/>
    <xf numFmtId="0" fontId="27" fillId="0" borderId="1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3" fillId="0" borderId="16" xfId="15" quotePrefix="1" applyFont="1" applyBorder="1" applyAlignment="1">
      <alignment horizontal="center" vertical="center" shrinkToFit="1"/>
    </xf>
    <xf numFmtId="2" fontId="23" fillId="0" borderId="17" xfId="17" applyNumberFormat="1" applyFont="1" applyBorder="1" applyAlignment="1">
      <alignment horizontal="left" shrinkToFit="1"/>
    </xf>
    <xf numFmtId="2" fontId="23" fillId="0" borderId="18" xfId="17" applyNumberFormat="1" applyFont="1" applyBorder="1" applyAlignment="1">
      <alignment horizontal="left" shrinkToFit="1"/>
    </xf>
    <xf numFmtId="2" fontId="32" fillId="0" borderId="17" xfId="17" applyNumberFormat="1" applyFont="1" applyBorder="1" applyAlignment="1">
      <alignment horizontal="left" shrinkToFit="1"/>
    </xf>
    <xf numFmtId="0" fontId="23" fillId="0" borderId="5" xfId="0" quotePrefix="1" applyFont="1" applyBorder="1" applyAlignment="1">
      <alignment horizontal="center" shrinkToFit="1"/>
    </xf>
    <xf numFmtId="2" fontId="23" fillId="0" borderId="5" xfId="17" applyNumberFormat="1" applyFont="1" applyBorder="1" applyAlignment="1">
      <alignment horizontal="center" shrinkToFit="1"/>
    </xf>
    <xf numFmtId="2" fontId="23" fillId="0" borderId="17" xfId="17" applyNumberFormat="1" applyFont="1" applyBorder="1" applyAlignment="1">
      <alignment horizontal="left"/>
    </xf>
    <xf numFmtId="2" fontId="23" fillId="0" borderId="18" xfId="17" applyNumberFormat="1" applyFont="1" applyBorder="1" applyAlignment="1">
      <alignment horizontal="left"/>
    </xf>
    <xf numFmtId="2" fontId="23" fillId="0" borderId="5" xfId="17" applyNumberFormat="1" applyFont="1" applyBorder="1" applyAlignment="1">
      <alignment horizontal="center"/>
    </xf>
    <xf numFmtId="0" fontId="37" fillId="0" borderId="0" xfId="0" applyFont="1"/>
    <xf numFmtId="0" fontId="32" fillId="0" borderId="5" xfId="15" quotePrefix="1" applyFont="1" applyBorder="1" applyAlignment="1">
      <alignment horizontal="center" vertical="center" shrinkToFit="1"/>
    </xf>
    <xf numFmtId="2" fontId="23" fillId="0" borderId="5" xfId="17" applyNumberFormat="1" applyFont="1" applyBorder="1" applyAlignment="1">
      <alignment horizontal="right" shrinkToFit="1"/>
    </xf>
    <xf numFmtId="3" fontId="38" fillId="0" borderId="5" xfId="17" applyNumberFormat="1" applyFont="1" applyBorder="1" applyAlignment="1">
      <alignment horizontal="right" shrinkToFit="1"/>
    </xf>
    <xf numFmtId="4" fontId="23" fillId="0" borderId="5" xfId="17" applyNumberFormat="1" applyFont="1" applyBorder="1" applyAlignment="1">
      <alignment horizontal="right" shrinkToFit="1"/>
    </xf>
    <xf numFmtId="1" fontId="23" fillId="4" borderId="19" xfId="17" quotePrefix="1" applyNumberFormat="1" applyFont="1" applyFill="1" applyBorder="1" applyAlignment="1">
      <alignment horizontal="centerContinuous"/>
    </xf>
    <xf numFmtId="0" fontId="23" fillId="0" borderId="16" xfId="15" applyFont="1" applyBorder="1" applyAlignment="1">
      <alignment horizontal="center" vertical="center" shrinkToFit="1"/>
    </xf>
    <xf numFmtId="2" fontId="23" fillId="4" borderId="5" xfId="17" applyNumberFormat="1" applyFont="1" applyFill="1" applyBorder="1" applyAlignment="1">
      <alignment horizontal="right" shrinkToFit="1"/>
    </xf>
    <xf numFmtId="2" fontId="29" fillId="4" borderId="5" xfId="17" applyNumberFormat="1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 shrinkToFit="1"/>
    </xf>
    <xf numFmtId="2" fontId="32" fillId="0" borderId="18" xfId="17" applyNumberFormat="1" applyFont="1" applyBorder="1" applyAlignment="1">
      <alignment horizontal="left" shrinkToFit="1"/>
    </xf>
    <xf numFmtId="2" fontId="32" fillId="0" borderId="5" xfId="17" applyNumberFormat="1" applyFont="1" applyBorder="1" applyAlignment="1">
      <alignment horizontal="center"/>
    </xf>
    <xf numFmtId="2" fontId="24" fillId="0" borderId="17" xfId="17" applyNumberFormat="1" applyFont="1" applyBorder="1" applyAlignment="1">
      <alignment horizontal="left" shrinkToFit="1"/>
    </xf>
    <xf numFmtId="2" fontId="24" fillId="0" borderId="5" xfId="17" applyNumberFormat="1" applyFont="1" applyBorder="1" applyAlignment="1">
      <alignment horizontal="right" shrinkToFit="1"/>
    </xf>
    <xf numFmtId="0" fontId="43" fillId="0" borderId="10" xfId="0" applyFont="1" applyBorder="1"/>
    <xf numFmtId="0" fontId="43" fillId="0" borderId="0" xfId="0" applyFont="1"/>
    <xf numFmtId="167" fontId="23" fillId="0" borderId="5" xfId="1" applyNumberFormat="1" applyFont="1" applyBorder="1"/>
    <xf numFmtId="167" fontId="29" fillId="0" borderId="0" xfId="1" applyNumberFormat="1" applyFont="1"/>
    <xf numFmtId="167" fontId="43" fillId="0" borderId="0" xfId="1" applyNumberFormat="1" applyFont="1"/>
    <xf numFmtId="3" fontId="42" fillId="0" borderId="5" xfId="0" applyNumberFormat="1" applyFont="1" applyBorder="1"/>
    <xf numFmtId="2" fontId="23" fillId="0" borderId="5" xfId="17" applyNumberFormat="1" applyFont="1" applyBorder="1" applyAlignment="1">
      <alignment horizontal="right"/>
    </xf>
    <xf numFmtId="167" fontId="23" fillId="0" borderId="0" xfId="17" applyNumberFormat="1" applyFont="1" applyAlignment="1">
      <alignment horizontal="center"/>
    </xf>
    <xf numFmtId="2" fontId="42" fillId="0" borderId="5" xfId="17" applyNumberFormat="1" applyFont="1" applyBorder="1" applyAlignment="1">
      <alignment horizontal="right" shrinkToFit="1"/>
    </xf>
    <xf numFmtId="0" fontId="25" fillId="0" borderId="5" xfId="18" applyFont="1" applyBorder="1" applyAlignment="1">
      <alignment horizontal="center" shrinkToFit="1"/>
    </xf>
    <xf numFmtId="4" fontId="23" fillId="0" borderId="5" xfId="17" quotePrefix="1" applyNumberFormat="1" applyFont="1" applyBorder="1" applyAlignment="1">
      <alignment horizontal="right" shrinkToFit="1"/>
    </xf>
    <xf numFmtId="0" fontId="24" fillId="0" borderId="0" xfId="17" applyFont="1" applyAlignment="1">
      <alignment horizontal="center"/>
    </xf>
    <xf numFmtId="0" fontId="44" fillId="0" borderId="0" xfId="17" applyFont="1" applyAlignment="1">
      <alignment horizontal="center" vertical="top"/>
    </xf>
    <xf numFmtId="2" fontId="33" fillId="0" borderId="18" xfId="17" applyNumberFormat="1" applyFont="1" applyBorder="1" applyAlignment="1">
      <alignment horizontal="left" shrinkToFit="1"/>
    </xf>
    <xf numFmtId="2" fontId="23" fillId="0" borderId="0" xfId="17" applyNumberFormat="1" applyFont="1" applyAlignment="1">
      <alignment horizontal="left"/>
    </xf>
    <xf numFmtId="2" fontId="23" fillId="0" borderId="0" xfId="17" applyNumberFormat="1" applyFont="1" applyAlignment="1">
      <alignment horizontal="left" shrinkToFit="1"/>
    </xf>
    <xf numFmtId="0" fontId="0" fillId="0" borderId="3" xfId="0" applyBorder="1"/>
    <xf numFmtId="2" fontId="30" fillId="0" borderId="3" xfId="17" applyNumberFormat="1" applyFont="1" applyBorder="1" applyAlignment="1">
      <alignment horizontal="center" vertical="center" wrapText="1"/>
    </xf>
    <xf numFmtId="3" fontId="38" fillId="0" borderId="20" xfId="17" applyNumberFormat="1" applyFont="1" applyBorder="1" applyAlignment="1">
      <alignment horizontal="right" shrinkToFit="1"/>
    </xf>
    <xf numFmtId="0" fontId="0" fillId="0" borderId="21" xfId="0" applyBorder="1"/>
    <xf numFmtId="0" fontId="0" fillId="0" borderId="18" xfId="0" applyBorder="1"/>
    <xf numFmtId="0" fontId="0" fillId="0" borderId="22" xfId="0" applyBorder="1"/>
    <xf numFmtId="1" fontId="23" fillId="0" borderId="20" xfId="17" quotePrefix="1" applyNumberFormat="1" applyFont="1" applyBorder="1" applyAlignment="1">
      <alignment horizontal="centerContinuous"/>
    </xf>
    <xf numFmtId="1" fontId="23" fillId="0" borderId="5" xfId="17" quotePrefix="1" applyNumberFormat="1" applyFont="1" applyBorder="1" applyAlignment="1">
      <alignment horizontal="centerContinuous"/>
    </xf>
    <xf numFmtId="0" fontId="23" fillId="0" borderId="23" xfId="15" applyFont="1" applyBorder="1" applyAlignment="1">
      <alignment horizontal="center" vertical="center" shrinkToFit="1"/>
    </xf>
    <xf numFmtId="2" fontId="23" fillId="0" borderId="24" xfId="17" applyNumberFormat="1" applyFont="1" applyBorder="1" applyAlignment="1">
      <alignment horizontal="left" shrinkToFit="1"/>
    </xf>
    <xf numFmtId="2" fontId="23" fillId="0" borderId="25" xfId="17" applyNumberFormat="1" applyFont="1" applyBorder="1" applyAlignment="1">
      <alignment horizontal="center"/>
    </xf>
    <xf numFmtId="3" fontId="38" fillId="0" borderId="25" xfId="17" applyNumberFormat="1" applyFont="1" applyBorder="1" applyAlignment="1">
      <alignment horizontal="right" shrinkToFit="1"/>
    </xf>
    <xf numFmtId="1" fontId="30" fillId="0" borderId="3" xfId="17" quotePrefix="1" applyNumberFormat="1" applyFont="1" applyBorder="1" applyAlignment="1">
      <alignment horizontal="centerContinuous" vertical="center"/>
    </xf>
    <xf numFmtId="2" fontId="30" fillId="0" borderId="2" xfId="17" applyNumberFormat="1" applyFont="1" applyBorder="1" applyAlignment="1">
      <alignment horizontal="left" vertical="center"/>
    </xf>
    <xf numFmtId="4" fontId="24" fillId="0" borderId="3" xfId="1" applyNumberFormat="1" applyFont="1" applyBorder="1" applyAlignment="1">
      <alignment horizontal="right" vertical="center" shrinkToFit="1"/>
    </xf>
    <xf numFmtId="2" fontId="23" fillId="0" borderId="25" xfId="17" applyNumberFormat="1" applyFont="1" applyBorder="1" applyAlignment="1">
      <alignment horizontal="right" shrinkToFit="1"/>
    </xf>
    <xf numFmtId="3" fontId="24" fillId="0" borderId="3" xfId="1" applyNumberFormat="1" applyFont="1" applyBorder="1" applyAlignment="1">
      <alignment horizontal="center" vertical="center" shrinkToFit="1"/>
    </xf>
    <xf numFmtId="165" fontId="23" fillId="0" borderId="0" xfId="1" applyFont="1" applyBorder="1" applyAlignment="1">
      <alignment horizontal="center"/>
    </xf>
    <xf numFmtId="2" fontId="42" fillId="0" borderId="18" xfId="17" applyNumberFormat="1" applyFont="1" applyBorder="1" applyAlignment="1">
      <alignment horizontal="left" shrinkToFit="1"/>
    </xf>
    <xf numFmtId="2" fontId="42" fillId="0" borderId="22" xfId="17" applyNumberFormat="1" applyFont="1" applyBorder="1" applyAlignment="1">
      <alignment horizontal="left" shrinkToFit="1"/>
    </xf>
    <xf numFmtId="2" fontId="42" fillId="0" borderId="5" xfId="17" applyNumberFormat="1" applyFont="1" applyBorder="1" applyAlignment="1">
      <alignment horizontal="center"/>
    </xf>
    <xf numFmtId="0" fontId="42" fillId="4" borderId="16" xfId="15" applyFont="1" applyFill="1" applyBorder="1" applyAlignment="1">
      <alignment horizontal="center" vertical="center" shrinkToFit="1"/>
    </xf>
    <xf numFmtId="2" fontId="42" fillId="0" borderId="17" xfId="17" applyNumberFormat="1" applyFont="1" applyBorder="1" applyAlignment="1">
      <alignment horizontal="left"/>
    </xf>
    <xf numFmtId="0" fontId="32" fillId="0" borderId="15" xfId="0" applyFont="1" applyBorder="1" applyAlignment="1">
      <alignment horizontal="center"/>
    </xf>
    <xf numFmtId="165" fontId="28" fillId="0" borderId="0" xfId="17" applyNumberFormat="1" applyFont="1" applyAlignment="1">
      <alignment horizontal="left"/>
    </xf>
    <xf numFmtId="0" fontId="32" fillId="0" borderId="0" xfId="0" applyFont="1" applyAlignment="1">
      <alignment horizontal="center"/>
    </xf>
    <xf numFmtId="1" fontId="32" fillId="0" borderId="9" xfId="17" applyNumberFormat="1" applyFont="1" applyBorder="1"/>
    <xf numFmtId="1" fontId="28" fillId="0" borderId="4" xfId="17" quotePrefix="1" applyNumberFormat="1" applyFont="1" applyBorder="1" applyAlignment="1">
      <alignment horizontal="center"/>
    </xf>
    <xf numFmtId="0" fontId="29" fillId="0" borderId="10" xfId="0" applyFont="1" applyBorder="1"/>
    <xf numFmtId="0" fontId="25" fillId="0" borderId="0" xfId="16" applyFont="1"/>
    <xf numFmtId="0" fontId="25" fillId="4" borderId="0" xfId="16" applyFont="1" applyFill="1"/>
    <xf numFmtId="167" fontId="38" fillId="0" borderId="0" xfId="1" applyNumberFormat="1" applyFont="1"/>
    <xf numFmtId="167" fontId="39" fillId="0" borderId="0" xfId="1" applyNumberFormat="1" applyFont="1"/>
    <xf numFmtId="0" fontId="54" fillId="0" borderId="0" xfId="0" applyFont="1"/>
    <xf numFmtId="0" fontId="47" fillId="0" borderId="0" xfId="0" applyFont="1"/>
    <xf numFmtId="167" fontId="54" fillId="0" borderId="0" xfId="1" applyNumberFormat="1" applyFont="1" applyAlignment="1">
      <alignment vertical="center"/>
    </xf>
    <xf numFmtId="167" fontId="54" fillId="0" borderId="0" xfId="1" applyNumberFormat="1" applyFont="1"/>
    <xf numFmtId="0" fontId="54" fillId="0" borderId="0" xfId="0" quotePrefix="1" applyFont="1"/>
    <xf numFmtId="1" fontId="23" fillId="4" borderId="27" xfId="17" quotePrefix="1" applyNumberFormat="1" applyFont="1" applyFill="1" applyBorder="1" applyAlignment="1">
      <alignment horizontal="centerContinuous"/>
    </xf>
    <xf numFmtId="2" fontId="23" fillId="0" borderId="28" xfId="17" applyNumberFormat="1" applyFont="1" applyBorder="1" applyAlignment="1">
      <alignment horizontal="left" shrinkToFit="1"/>
    </xf>
    <xf numFmtId="2" fontId="23" fillId="0" borderId="26" xfId="17" applyNumberFormat="1" applyFont="1" applyBorder="1" applyAlignment="1">
      <alignment horizontal="right" shrinkToFit="1"/>
    </xf>
    <xf numFmtId="0" fontId="32" fillId="0" borderId="28" xfId="0" applyFont="1" applyBorder="1"/>
    <xf numFmtId="2" fontId="23" fillId="0" borderId="26" xfId="17" applyNumberFormat="1" applyFont="1" applyBorder="1" applyAlignment="1">
      <alignment horizontal="center"/>
    </xf>
    <xf numFmtId="167" fontId="47" fillId="0" borderId="0" xfId="1" applyNumberFormat="1" applyFont="1"/>
    <xf numFmtId="0" fontId="30" fillId="0" borderId="0" xfId="0" applyFont="1"/>
    <xf numFmtId="0" fontId="41" fillId="0" borderId="0" xfId="0" applyFont="1"/>
    <xf numFmtId="0" fontId="23" fillId="0" borderId="26" xfId="18" applyFont="1" applyBorder="1" applyAlignment="1">
      <alignment horizontal="center" vertical="center" shrinkToFit="1"/>
    </xf>
    <xf numFmtId="0" fontId="32" fillId="0" borderId="26" xfId="0" applyFont="1" applyBorder="1" applyAlignment="1">
      <alignment horizontal="center" vertical="center"/>
    </xf>
    <xf numFmtId="1" fontId="23" fillId="4" borderId="29" xfId="17" quotePrefix="1" applyNumberFormat="1" applyFont="1" applyFill="1" applyBorder="1" applyAlignment="1">
      <alignment horizontal="centerContinuous"/>
    </xf>
    <xf numFmtId="1" fontId="31" fillId="0" borderId="30" xfId="17" quotePrefix="1" applyNumberFormat="1" applyFont="1" applyBorder="1" applyAlignment="1">
      <alignment horizontal="centerContinuous" vertical="center"/>
    </xf>
    <xf numFmtId="2" fontId="32" fillId="0" borderId="31" xfId="17" applyNumberFormat="1" applyFont="1" applyBorder="1" applyAlignment="1">
      <alignment horizontal="left" shrinkToFit="1"/>
    </xf>
    <xf numFmtId="2" fontId="32" fillId="0" borderId="16" xfId="17" applyNumberFormat="1" applyFont="1" applyBorder="1" applyAlignment="1">
      <alignment horizontal="center" vertical="center"/>
    </xf>
    <xf numFmtId="4" fontId="23" fillId="0" borderId="16" xfId="17" applyNumberFormat="1" applyFont="1" applyBorder="1" applyAlignment="1">
      <alignment horizontal="right" shrinkToFit="1"/>
    </xf>
    <xf numFmtId="0" fontId="28" fillId="0" borderId="32" xfId="0" applyFont="1" applyBorder="1" applyAlignment="1">
      <alignment vertical="center"/>
    </xf>
    <xf numFmtId="0" fontId="41" fillId="0" borderId="0" xfId="0" applyFont="1" applyAlignment="1">
      <alignment horizontal="left"/>
    </xf>
    <xf numFmtId="0" fontId="56" fillId="0" borderId="0" xfId="0" applyFont="1" applyAlignment="1">
      <alignment horizontal="left"/>
    </xf>
    <xf numFmtId="0" fontId="38" fillId="0" borderId="0" xfId="0" applyFont="1"/>
    <xf numFmtId="0" fontId="23" fillId="0" borderId="5" xfId="15" applyFont="1" applyBorder="1" applyAlignment="1">
      <alignment horizontal="center" vertical="center" shrinkToFit="1"/>
    </xf>
    <xf numFmtId="167" fontId="32" fillId="0" borderId="0" xfId="1" applyNumberFormat="1" applyFont="1" applyBorder="1"/>
    <xf numFmtId="0" fontId="32" fillId="0" borderId="34" xfId="0" applyFont="1" applyBorder="1" applyAlignment="1">
      <alignment horizontal="center"/>
    </xf>
    <xf numFmtId="2" fontId="33" fillId="0" borderId="35" xfId="17" applyNumberFormat="1" applyFont="1" applyBorder="1" applyAlignment="1">
      <alignment horizontal="left" shrinkToFit="1"/>
    </xf>
    <xf numFmtId="167" fontId="37" fillId="0" borderId="12" xfId="1" applyNumberFormat="1" applyFont="1" applyBorder="1"/>
    <xf numFmtId="167" fontId="39" fillId="0" borderId="12" xfId="1" applyNumberFormat="1" applyFont="1" applyBorder="1"/>
    <xf numFmtId="167" fontId="54" fillId="0" borderId="12" xfId="1" applyNumberFormat="1" applyFont="1" applyBorder="1"/>
    <xf numFmtId="0" fontId="32" fillId="0" borderId="26" xfId="0" applyFont="1" applyBorder="1" applyAlignment="1">
      <alignment horizontal="center"/>
    </xf>
    <xf numFmtId="167" fontId="37" fillId="0" borderId="12" xfId="1" applyNumberFormat="1" applyFont="1" applyBorder="1" applyAlignment="1">
      <alignment vertical="center"/>
    </xf>
    <xf numFmtId="167" fontId="38" fillId="0" borderId="12" xfId="1" applyNumberFormat="1" applyFont="1" applyBorder="1"/>
    <xf numFmtId="167" fontId="38" fillId="4" borderId="12" xfId="1" applyNumberFormat="1" applyFont="1" applyFill="1" applyBorder="1"/>
    <xf numFmtId="167" fontId="37" fillId="0" borderId="0" xfId="1" applyNumberFormat="1" applyFont="1"/>
    <xf numFmtId="167" fontId="37" fillId="0" borderId="0" xfId="1" quotePrefix="1" applyNumberFormat="1" applyFont="1"/>
    <xf numFmtId="167" fontId="54" fillId="4" borderId="12" xfId="1" applyNumberFormat="1" applyFont="1" applyFill="1" applyBorder="1" applyAlignment="1">
      <alignment horizontal="right" shrinkToFit="1"/>
    </xf>
    <xf numFmtId="1" fontId="27" fillId="0" borderId="4" xfId="17" quotePrefix="1" applyNumberFormat="1" applyFont="1" applyBorder="1" applyAlignment="1">
      <alignment horizontal="centerContinuous"/>
    </xf>
    <xf numFmtId="2" fontId="32" fillId="4" borderId="5" xfId="17" applyNumberFormat="1" applyFont="1" applyFill="1" applyBorder="1" applyAlignment="1">
      <alignment horizontal="right" shrinkToFit="1"/>
    </xf>
    <xf numFmtId="2" fontId="32" fillId="0" borderId="5" xfId="17" applyNumberFormat="1" applyFont="1" applyBorder="1" applyAlignment="1">
      <alignment horizontal="right" shrinkToFit="1"/>
    </xf>
    <xf numFmtId="0" fontId="57" fillId="0" borderId="10" xfId="0" applyFont="1" applyBorder="1"/>
    <xf numFmtId="167" fontId="54" fillId="0" borderId="0" xfId="1" quotePrefix="1" applyNumberFormat="1" applyFont="1"/>
    <xf numFmtId="0" fontId="57" fillId="0" borderId="0" xfId="0" applyFont="1"/>
    <xf numFmtId="2" fontId="32" fillId="0" borderId="17" xfId="17" applyNumberFormat="1" applyFont="1" applyBorder="1" applyAlignment="1">
      <alignment horizontal="left"/>
    </xf>
    <xf numFmtId="2" fontId="32" fillId="0" borderId="5" xfId="17" applyNumberFormat="1" applyFont="1" applyBorder="1" applyAlignment="1">
      <alignment horizontal="right" vertical="center" shrinkToFit="1"/>
    </xf>
    <xf numFmtId="2" fontId="34" fillId="0" borderId="18" xfId="17" applyNumberFormat="1" applyFont="1" applyBorder="1" applyAlignment="1">
      <alignment horizontal="left" shrinkToFit="1"/>
    </xf>
    <xf numFmtId="2" fontId="33" fillId="0" borderId="18" xfId="17" applyNumberFormat="1" applyFont="1" applyBorder="1" applyAlignment="1">
      <alignment horizontal="left"/>
    </xf>
    <xf numFmtId="0" fontId="23" fillId="0" borderId="26" xfId="17" applyFont="1" applyBorder="1" applyAlignment="1">
      <alignment horizontal="center" vertical="center"/>
    </xf>
    <xf numFmtId="0" fontId="23" fillId="0" borderId="26" xfId="15" quotePrefix="1" applyFont="1" applyBorder="1" applyAlignment="1">
      <alignment horizontal="center" vertical="center" shrinkToFit="1"/>
    </xf>
    <xf numFmtId="2" fontId="23" fillId="0" borderId="28" xfId="17" applyNumberFormat="1" applyFont="1" applyBorder="1" applyAlignment="1">
      <alignment horizontal="left"/>
    </xf>
    <xf numFmtId="2" fontId="32" fillId="0" borderId="36" xfId="17" applyNumberFormat="1" applyFont="1" applyBorder="1" applyAlignment="1">
      <alignment horizontal="left"/>
    </xf>
    <xf numFmtId="2" fontId="32" fillId="0" borderId="36" xfId="17" applyNumberFormat="1" applyFont="1" applyBorder="1" applyAlignment="1">
      <alignment horizontal="left" shrinkToFit="1"/>
    </xf>
    <xf numFmtId="0" fontId="23" fillId="0" borderId="26" xfId="15" applyFont="1" applyBorder="1" applyAlignment="1">
      <alignment horizontal="center" vertical="center" shrinkToFit="1"/>
    </xf>
    <xf numFmtId="0" fontId="32" fillId="0" borderId="26" xfId="15" quotePrefix="1" applyFont="1" applyBorder="1" applyAlignment="1">
      <alignment horizontal="center" vertical="center" shrinkToFit="1"/>
    </xf>
    <xf numFmtId="2" fontId="32" fillId="0" borderId="28" xfId="17" applyNumberFormat="1" applyFont="1" applyBorder="1" applyAlignment="1">
      <alignment horizontal="left"/>
    </xf>
    <xf numFmtId="2" fontId="32" fillId="0" borderId="26" xfId="17" applyNumberFormat="1" applyFont="1" applyBorder="1" applyAlignment="1">
      <alignment horizontal="center"/>
    </xf>
    <xf numFmtId="2" fontId="23" fillId="0" borderId="28" xfId="17" applyNumberFormat="1" applyFont="1" applyBorder="1" applyAlignment="1">
      <alignment horizontal="left" vertical="center" shrinkToFit="1"/>
    </xf>
    <xf numFmtId="2" fontId="32" fillId="0" borderId="36" xfId="17" applyNumberFormat="1" applyFont="1" applyBorder="1" applyAlignment="1">
      <alignment horizontal="left" vertical="center" shrinkToFit="1"/>
    </xf>
    <xf numFmtId="49" fontId="32" fillId="0" borderId="26" xfId="18" applyNumberFormat="1" applyFont="1" applyBorder="1" applyAlignment="1">
      <alignment horizontal="center" vertical="center" shrinkToFit="1"/>
    </xf>
    <xf numFmtId="2" fontId="32" fillId="0" borderId="26" xfId="17" applyNumberFormat="1" applyFont="1" applyBorder="1" applyAlignment="1">
      <alignment horizontal="center" vertical="center"/>
    </xf>
    <xf numFmtId="167" fontId="23" fillId="0" borderId="12" xfId="1" applyNumberFormat="1" applyFont="1" applyBorder="1"/>
    <xf numFmtId="167" fontId="53" fillId="4" borderId="37" xfId="1" applyNumberFormat="1" applyFont="1" applyFill="1" applyBorder="1" applyAlignment="1"/>
    <xf numFmtId="167" fontId="42" fillId="0" borderId="12" xfId="1" applyNumberFormat="1" applyFont="1" applyBorder="1" applyAlignment="1">
      <alignment horizontal="center"/>
    </xf>
    <xf numFmtId="167" fontId="23" fillId="0" borderId="12" xfId="1" applyNumberFormat="1" applyFont="1" applyBorder="1" applyAlignment="1">
      <alignment horizontal="center"/>
    </xf>
    <xf numFmtId="167" fontId="53" fillId="0" borderId="37" xfId="1" applyNumberFormat="1" applyFont="1" applyBorder="1"/>
    <xf numFmtId="167" fontId="24" fillId="0" borderId="38" xfId="1" applyNumberFormat="1" applyFont="1" applyBorder="1" applyAlignment="1">
      <alignment horizontal="center"/>
    </xf>
    <xf numFmtId="0" fontId="23" fillId="4" borderId="12" xfId="15" applyFont="1" applyFill="1" applyBorder="1" applyAlignment="1">
      <alignment horizontal="center" vertical="center" shrinkToFit="1"/>
    </xf>
    <xf numFmtId="0" fontId="23" fillId="0" borderId="12" xfId="15" applyFont="1" applyBorder="1" applyAlignment="1">
      <alignment horizontal="center" vertical="center" shrinkToFit="1"/>
    </xf>
    <xf numFmtId="167" fontId="42" fillId="0" borderId="30" xfId="1" applyNumberFormat="1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23" fillId="0" borderId="39" xfId="16" applyFont="1" applyBorder="1"/>
    <xf numFmtId="1" fontId="23" fillId="4" borderId="12" xfId="17" quotePrefix="1" applyNumberFormat="1" applyFont="1" applyFill="1" applyBorder="1" applyAlignment="1">
      <alignment horizontal="centerContinuous" vertical="center"/>
    </xf>
    <xf numFmtId="0" fontId="23" fillId="0" borderId="37" xfId="16" applyFont="1" applyBorder="1"/>
    <xf numFmtId="0" fontId="23" fillId="0" borderId="40" xfId="16" applyFont="1" applyBorder="1"/>
    <xf numFmtId="0" fontId="23" fillId="0" borderId="41" xfId="16" applyFont="1" applyBorder="1"/>
    <xf numFmtId="0" fontId="23" fillId="0" borderId="42" xfId="16" applyFont="1" applyBorder="1"/>
    <xf numFmtId="0" fontId="23" fillId="0" borderId="43" xfId="16" applyFont="1" applyBorder="1"/>
    <xf numFmtId="0" fontId="23" fillId="4" borderId="12" xfId="18" applyFont="1" applyFill="1" applyBorder="1" applyAlignment="1">
      <alignment horizontal="center" vertical="center" shrinkToFit="1"/>
    </xf>
    <xf numFmtId="49" fontId="42" fillId="0" borderId="12" xfId="18" applyNumberFormat="1" applyFont="1" applyBorder="1" applyAlignment="1">
      <alignment horizontal="center" vertical="center" shrinkToFit="1"/>
    </xf>
    <xf numFmtId="0" fontId="23" fillId="0" borderId="5" xfId="15" quotePrefix="1" applyFont="1" applyBorder="1" applyAlignment="1">
      <alignment horizontal="center" vertical="center" shrinkToFit="1"/>
    </xf>
    <xf numFmtId="2" fontId="32" fillId="0" borderId="12" xfId="17" applyNumberFormat="1" applyFont="1" applyBorder="1" applyAlignment="1">
      <alignment horizontal="center"/>
    </xf>
    <xf numFmtId="1" fontId="24" fillId="4" borderId="19" xfId="17" quotePrefix="1" applyNumberFormat="1" applyFont="1" applyFill="1" applyBorder="1" applyAlignment="1">
      <alignment horizontal="centerContinuous"/>
    </xf>
    <xf numFmtId="0" fontId="24" fillId="0" borderId="5" xfId="15" applyFont="1" applyBorder="1" applyAlignment="1">
      <alignment horizontal="center" vertical="center" shrinkToFit="1"/>
    </xf>
    <xf numFmtId="2" fontId="55" fillId="0" borderId="12" xfId="17" applyNumberFormat="1" applyFont="1" applyBorder="1" applyAlignment="1">
      <alignment horizontal="center"/>
    </xf>
    <xf numFmtId="0" fontId="27" fillId="0" borderId="10" xfId="0" applyFont="1" applyBorder="1"/>
    <xf numFmtId="0" fontId="23" fillId="0" borderId="5" xfId="15" applyFont="1" applyBorder="1" applyAlignment="1">
      <alignment horizontal="center" shrinkToFit="1"/>
    </xf>
    <xf numFmtId="0" fontId="23" fillId="0" borderId="5" xfId="18" applyFont="1" applyBorder="1" applyAlignment="1">
      <alignment horizontal="center" vertical="center" shrinkToFit="1"/>
    </xf>
    <xf numFmtId="2" fontId="23" fillId="0" borderId="12" xfId="17" applyNumberFormat="1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32" fillId="0" borderId="17" xfId="0" applyFont="1" applyBorder="1"/>
    <xf numFmtId="0" fontId="33" fillId="0" borderId="18" xfId="0" applyFont="1" applyBorder="1"/>
    <xf numFmtId="0" fontId="23" fillId="0" borderId="5" xfId="0" applyFont="1" applyBorder="1"/>
    <xf numFmtId="0" fontId="32" fillId="0" borderId="10" xfId="0" applyFont="1" applyBorder="1"/>
    <xf numFmtId="49" fontId="37" fillId="0" borderId="5" xfId="18" applyNumberFormat="1" applyFont="1" applyBorder="1" applyAlignment="1">
      <alignment horizontal="center" vertical="center" shrinkToFit="1"/>
    </xf>
    <xf numFmtId="2" fontId="37" fillId="0" borderId="17" xfId="17" applyNumberFormat="1" applyFont="1" applyBorder="1" applyAlignment="1">
      <alignment horizontal="left" vertical="center" shrinkToFit="1"/>
    </xf>
    <xf numFmtId="2" fontId="37" fillId="0" borderId="18" xfId="17" applyNumberFormat="1" applyFont="1" applyBorder="1" applyAlignment="1">
      <alignment horizontal="left" vertical="center" shrinkToFit="1"/>
    </xf>
    <xf numFmtId="2" fontId="37" fillId="0" borderId="5" xfId="17" applyNumberFormat="1" applyFont="1" applyBorder="1" applyAlignment="1">
      <alignment horizontal="center" vertical="center"/>
    </xf>
    <xf numFmtId="2" fontId="37" fillId="0" borderId="5" xfId="17" applyNumberFormat="1" applyFont="1" applyBorder="1" applyAlignment="1">
      <alignment horizontal="right" vertical="center" shrinkToFit="1"/>
    </xf>
    <xf numFmtId="0" fontId="39" fillId="0" borderId="10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32" fillId="0" borderId="12" xfId="0" applyFont="1" applyBorder="1"/>
    <xf numFmtId="0" fontId="33" fillId="0" borderId="12" xfId="0" applyFont="1" applyBorder="1"/>
    <xf numFmtId="1" fontId="24" fillId="4" borderId="44" xfId="17" quotePrefix="1" applyNumberFormat="1" applyFont="1" applyFill="1" applyBorder="1" applyAlignment="1">
      <alignment horizontal="centerContinuous"/>
    </xf>
    <xf numFmtId="0" fontId="26" fillId="0" borderId="45" xfId="18" applyFont="1" applyBorder="1" applyAlignment="1">
      <alignment horizontal="center" shrinkToFit="1"/>
    </xf>
    <xf numFmtId="2" fontId="24" fillId="0" borderId="46" xfId="17" applyNumberFormat="1" applyFont="1" applyBorder="1" applyAlignment="1">
      <alignment horizontal="left" shrinkToFit="1"/>
    </xf>
    <xf numFmtId="2" fontId="33" fillId="0" borderId="47" xfId="17" applyNumberFormat="1" applyFont="1" applyBorder="1" applyAlignment="1">
      <alignment horizontal="left" shrinkToFit="1"/>
    </xf>
    <xf numFmtId="2" fontId="24" fillId="0" borderId="38" xfId="17" applyNumberFormat="1" applyFont="1" applyBorder="1" applyAlignment="1">
      <alignment horizontal="center"/>
    </xf>
    <xf numFmtId="2" fontId="24" fillId="0" borderId="45" xfId="17" applyNumberFormat="1" applyFont="1" applyBorder="1" applyAlignment="1">
      <alignment horizontal="right" shrinkToFit="1"/>
    </xf>
    <xf numFmtId="0" fontId="27" fillId="0" borderId="48" xfId="0" applyFont="1" applyBorder="1"/>
    <xf numFmtId="167" fontId="36" fillId="0" borderId="12" xfId="1" applyNumberFormat="1" applyFont="1" applyBorder="1"/>
    <xf numFmtId="167" fontId="41" fillId="0" borderId="12" xfId="0" applyNumberFormat="1" applyFont="1" applyBorder="1"/>
    <xf numFmtId="167" fontId="37" fillId="0" borderId="0" xfId="1" applyNumberFormat="1" applyFont="1" applyAlignment="1">
      <alignment vertical="center"/>
    </xf>
    <xf numFmtId="167" fontId="54" fillId="0" borderId="39" xfId="1" applyNumberFormat="1" applyFont="1" applyBorder="1" applyAlignment="1">
      <alignment vertical="center"/>
    </xf>
    <xf numFmtId="167" fontId="37" fillId="0" borderId="39" xfId="1" applyNumberFormat="1" applyFont="1" applyBorder="1"/>
    <xf numFmtId="167" fontId="37" fillId="0" borderId="39" xfId="1" quotePrefix="1" applyNumberFormat="1" applyFont="1" applyBorder="1"/>
    <xf numFmtId="167" fontId="54" fillId="0" borderId="39" xfId="1" quotePrefix="1" applyNumberFormat="1" applyFont="1" applyBorder="1"/>
    <xf numFmtId="167" fontId="54" fillId="0" borderId="39" xfId="1" applyNumberFormat="1" applyFont="1" applyBorder="1"/>
    <xf numFmtId="167" fontId="47" fillId="0" borderId="39" xfId="1" applyNumberFormat="1" applyFont="1" applyBorder="1"/>
    <xf numFmtId="167" fontId="39" fillId="0" borderId="39" xfId="1" applyNumberFormat="1" applyFont="1" applyBorder="1"/>
    <xf numFmtId="167" fontId="29" fillId="0" borderId="0" xfId="0" applyNumberFormat="1" applyFont="1"/>
    <xf numFmtId="1" fontId="37" fillId="0" borderId="9" xfId="17" applyNumberFormat="1" applyFont="1" applyBorder="1"/>
    <xf numFmtId="1" fontId="13" fillId="0" borderId="9" xfId="17" applyNumberFormat="1" applyFont="1" applyBorder="1"/>
    <xf numFmtId="2" fontId="28" fillId="0" borderId="0" xfId="17" applyNumberFormat="1" applyFont="1" applyAlignment="1">
      <alignment horizontal="center"/>
    </xf>
    <xf numFmtId="167" fontId="32" fillId="0" borderId="0" xfId="1" applyNumberFormat="1" applyFont="1" applyBorder="1" applyAlignment="1">
      <alignment horizontal="center"/>
    </xf>
    <xf numFmtId="167" fontId="37" fillId="0" borderId="0" xfId="0" applyNumberFormat="1" applyFont="1"/>
    <xf numFmtId="167" fontId="34" fillId="0" borderId="38" xfId="1" applyNumberFormat="1" applyFont="1" applyBorder="1" applyAlignment="1">
      <alignment horizontal="center"/>
    </xf>
    <xf numFmtId="2" fontId="32" fillId="0" borderId="28" xfId="17" applyNumberFormat="1" applyFont="1" applyBorder="1" applyAlignment="1">
      <alignment horizontal="left" vertical="center" shrinkToFit="1"/>
    </xf>
    <xf numFmtId="0" fontId="33" fillId="0" borderId="36" xfId="0" applyFont="1" applyBorder="1"/>
    <xf numFmtId="167" fontId="28" fillId="0" borderId="0" xfId="1" applyNumberFormat="1" applyFont="1"/>
    <xf numFmtId="3" fontId="23" fillId="0" borderId="0" xfId="0" applyNumberFormat="1" applyFont="1"/>
    <xf numFmtId="167" fontId="23" fillId="0" borderId="49" xfId="1" applyNumberFormat="1" applyFont="1" applyBorder="1"/>
    <xf numFmtId="0" fontId="27" fillId="0" borderId="50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3" fontId="32" fillId="0" borderId="31" xfId="0" applyNumberFormat="1" applyFont="1" applyBorder="1"/>
    <xf numFmtId="3" fontId="32" fillId="0" borderId="17" xfId="0" applyNumberFormat="1" applyFont="1" applyBorder="1"/>
    <xf numFmtId="3" fontId="32" fillId="0" borderId="17" xfId="0" applyNumberFormat="1" applyFont="1" applyBorder="1" applyAlignment="1">
      <alignment horizontal="right" vertical="center"/>
    </xf>
    <xf numFmtId="3" fontId="33" fillId="0" borderId="17" xfId="0" applyNumberFormat="1" applyFont="1" applyBorder="1"/>
    <xf numFmtId="3" fontId="44" fillId="0" borderId="17" xfId="0" applyNumberFormat="1" applyFont="1" applyBorder="1"/>
    <xf numFmtId="3" fontId="23" fillId="0" borderId="17" xfId="0" applyNumberFormat="1" applyFont="1" applyBorder="1"/>
    <xf numFmtId="167" fontId="32" fillId="0" borderId="17" xfId="1" applyNumberFormat="1" applyFont="1" applyBorder="1" applyAlignment="1">
      <alignment horizontal="right"/>
    </xf>
    <xf numFmtId="3" fontId="37" fillId="0" borderId="17" xfId="0" applyNumberFormat="1" applyFont="1" applyBorder="1" applyAlignment="1">
      <alignment horizontal="right" vertical="center"/>
    </xf>
    <xf numFmtId="3" fontId="24" fillId="0" borderId="46" xfId="0" applyNumberFormat="1" applyFont="1" applyBorder="1"/>
    <xf numFmtId="167" fontId="33" fillId="0" borderId="54" xfId="1" applyNumberFormat="1" applyFont="1" applyBorder="1" applyAlignment="1">
      <alignment horizontal="center"/>
    </xf>
    <xf numFmtId="3" fontId="42" fillId="0" borderId="0" xfId="0" applyNumberFormat="1" applyFont="1"/>
    <xf numFmtId="3" fontId="42" fillId="0" borderId="17" xfId="0" applyNumberFormat="1" applyFont="1" applyBorder="1"/>
    <xf numFmtId="3" fontId="38" fillId="0" borderId="0" xfId="0" applyNumberFormat="1" applyFont="1"/>
    <xf numFmtId="167" fontId="37" fillId="4" borderId="12" xfId="1" applyNumberFormat="1" applyFont="1" applyFill="1" applyBorder="1" applyAlignment="1">
      <alignment horizontal="right" shrinkToFit="1"/>
    </xf>
    <xf numFmtId="167" fontId="41" fillId="0" borderId="49" xfId="0" applyNumberFormat="1" applyFont="1" applyBorder="1"/>
    <xf numFmtId="167" fontId="41" fillId="0" borderId="4" xfId="0" applyNumberFormat="1" applyFont="1" applyBorder="1"/>
    <xf numFmtId="1" fontId="38" fillId="4" borderId="29" xfId="17" quotePrefix="1" applyNumberFormat="1" applyFont="1" applyFill="1" applyBorder="1" applyAlignment="1">
      <alignment horizontal="centerContinuous"/>
    </xf>
    <xf numFmtId="49" fontId="38" fillId="0" borderId="16" xfId="0" applyNumberFormat="1" applyFont="1" applyBorder="1" applyAlignment="1">
      <alignment horizontal="center" shrinkToFit="1"/>
    </xf>
    <xf numFmtId="2" fontId="23" fillId="0" borderId="31" xfId="17" applyNumberFormat="1" applyFont="1" applyBorder="1" applyAlignment="1">
      <alignment horizontal="left" shrinkToFit="1"/>
    </xf>
    <xf numFmtId="2" fontId="23" fillId="0" borderId="16" xfId="17" applyNumberFormat="1" applyFont="1" applyBorder="1" applyAlignment="1">
      <alignment horizontal="center" shrinkToFit="1"/>
    </xf>
    <xf numFmtId="2" fontId="38" fillId="0" borderId="16" xfId="17" applyNumberFormat="1" applyFont="1" applyBorder="1" applyAlignment="1">
      <alignment horizontal="right" shrinkToFit="1"/>
    </xf>
    <xf numFmtId="3" fontId="37" fillId="0" borderId="31" xfId="0" applyNumberFormat="1" applyFont="1" applyBorder="1"/>
    <xf numFmtId="167" fontId="28" fillId="0" borderId="32" xfId="1" applyNumberFormat="1" applyFont="1" applyBorder="1"/>
    <xf numFmtId="0" fontId="27" fillId="0" borderId="55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 wrapText="1"/>
    </xf>
    <xf numFmtId="0" fontId="27" fillId="0" borderId="60" xfId="0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/>
    </xf>
    <xf numFmtId="1" fontId="24" fillId="4" borderId="27" xfId="17" quotePrefix="1" applyNumberFormat="1" applyFont="1" applyFill="1" applyBorder="1" applyAlignment="1">
      <alignment horizontal="centerContinuous"/>
    </xf>
    <xf numFmtId="2" fontId="24" fillId="0" borderId="28" xfId="17" applyNumberFormat="1" applyFont="1" applyBorder="1" applyAlignment="1">
      <alignment horizontal="left" shrinkToFit="1"/>
    </xf>
    <xf numFmtId="2" fontId="24" fillId="0" borderId="26" xfId="17" applyNumberFormat="1" applyFont="1" applyBorder="1" applyAlignment="1">
      <alignment horizontal="right" shrinkToFit="1"/>
    </xf>
    <xf numFmtId="0" fontId="23" fillId="0" borderId="26" xfId="15" applyFont="1" applyBorder="1" applyAlignment="1">
      <alignment horizontal="center" shrinkToFit="1"/>
    </xf>
    <xf numFmtId="1" fontId="24" fillId="4" borderId="61" xfId="17" quotePrefix="1" applyNumberFormat="1" applyFont="1" applyFill="1" applyBorder="1" applyAlignment="1">
      <alignment horizontal="centerContinuous"/>
    </xf>
    <xf numFmtId="2" fontId="24" fillId="0" borderId="62" xfId="17" applyNumberFormat="1" applyFont="1" applyBorder="1" applyAlignment="1">
      <alignment horizontal="right" shrinkToFit="1"/>
    </xf>
    <xf numFmtId="3" fontId="24" fillId="0" borderId="62" xfId="0" applyNumberFormat="1" applyFont="1" applyBorder="1"/>
    <xf numFmtId="0" fontId="27" fillId="0" borderId="63" xfId="0" applyFont="1" applyBorder="1"/>
    <xf numFmtId="167" fontId="32" fillId="4" borderId="37" xfId="1" applyNumberFormat="1" applyFont="1" applyFill="1" applyBorder="1" applyAlignment="1"/>
    <xf numFmtId="167" fontId="32" fillId="4" borderId="37" xfId="1" applyNumberFormat="1" applyFont="1" applyFill="1" applyBorder="1"/>
    <xf numFmtId="167" fontId="32" fillId="0" borderId="37" xfId="1" applyNumberFormat="1" applyFont="1" applyBorder="1"/>
    <xf numFmtId="49" fontId="32" fillId="0" borderId="23" xfId="18" applyNumberFormat="1" applyFont="1" applyBorder="1" applyAlignment="1">
      <alignment horizontal="center" vertical="center" shrinkToFit="1"/>
    </xf>
    <xf numFmtId="167" fontId="33" fillId="0" borderId="38" xfId="1" applyNumberFormat="1" applyFont="1" applyBorder="1" applyAlignment="1">
      <alignment horizontal="center"/>
    </xf>
    <xf numFmtId="2" fontId="32" fillId="0" borderId="58" xfId="17" applyNumberFormat="1" applyFont="1" applyBorder="1" applyAlignment="1">
      <alignment horizontal="left" shrinkToFit="1"/>
    </xf>
    <xf numFmtId="2" fontId="42" fillId="0" borderId="36" xfId="17" applyNumberFormat="1" applyFont="1" applyBorder="1" applyAlignment="1">
      <alignment horizontal="left" shrinkToFit="1"/>
    </xf>
    <xf numFmtId="0" fontId="52" fillId="0" borderId="26" xfId="0" applyFont="1" applyBorder="1" applyAlignment="1">
      <alignment horizontal="center"/>
    </xf>
    <xf numFmtId="2" fontId="52" fillId="0" borderId="28" xfId="17" applyNumberFormat="1" applyFont="1" applyBorder="1" applyAlignment="1">
      <alignment horizontal="left" shrinkToFit="1"/>
    </xf>
    <xf numFmtId="2" fontId="52" fillId="0" borderId="36" xfId="17" applyNumberFormat="1" applyFont="1" applyBorder="1" applyAlignment="1">
      <alignment horizontal="left" shrinkToFit="1"/>
    </xf>
    <xf numFmtId="167" fontId="34" fillId="0" borderId="49" xfId="1" applyNumberFormat="1" applyFont="1" applyBorder="1" applyAlignment="1">
      <alignment horizontal="center"/>
    </xf>
    <xf numFmtId="167" fontId="40" fillId="0" borderId="38" xfId="1" applyNumberFormat="1" applyFont="1" applyBorder="1" applyAlignment="1">
      <alignment horizontal="center"/>
    </xf>
    <xf numFmtId="2" fontId="23" fillId="4" borderId="28" xfId="17" applyNumberFormat="1" applyFont="1" applyFill="1" applyBorder="1" applyAlignment="1">
      <alignment horizontal="left" shrinkToFit="1"/>
    </xf>
    <xf numFmtId="2" fontId="32" fillId="4" borderId="36" xfId="17" applyNumberFormat="1" applyFont="1" applyFill="1" applyBorder="1" applyAlignment="1">
      <alignment horizontal="left" shrinkToFit="1"/>
    </xf>
    <xf numFmtId="2" fontId="23" fillId="4" borderId="26" xfId="17" applyNumberFormat="1" applyFont="1" applyFill="1" applyBorder="1" applyAlignment="1">
      <alignment horizontal="center"/>
    </xf>
    <xf numFmtId="0" fontId="32" fillId="0" borderId="36" xfId="0" applyFont="1" applyBorder="1"/>
    <xf numFmtId="1" fontId="23" fillId="4" borderId="59" xfId="17" quotePrefix="1" applyNumberFormat="1" applyFont="1" applyFill="1" applyBorder="1" applyAlignment="1">
      <alignment horizontal="centerContinuous"/>
    </xf>
    <xf numFmtId="1" fontId="31" fillId="0" borderId="59" xfId="17" quotePrefix="1" applyNumberFormat="1" applyFont="1" applyBorder="1" applyAlignment="1">
      <alignment horizontal="centerContinuous" vertical="center"/>
    </xf>
    <xf numFmtId="2" fontId="23" fillId="4" borderId="59" xfId="17" applyNumberFormat="1" applyFont="1" applyFill="1" applyBorder="1" applyAlignment="1">
      <alignment horizontal="center"/>
    </xf>
    <xf numFmtId="1" fontId="23" fillId="4" borderId="26" xfId="17" quotePrefix="1" applyNumberFormat="1" applyFont="1" applyFill="1" applyBorder="1" applyAlignment="1">
      <alignment horizontal="centerContinuous"/>
    </xf>
    <xf numFmtId="1" fontId="52" fillId="4" borderId="26" xfId="17" quotePrefix="1" applyNumberFormat="1" applyFont="1" applyFill="1" applyBorder="1" applyAlignment="1">
      <alignment horizontal="centerContinuous"/>
    </xf>
    <xf numFmtId="1" fontId="59" fillId="0" borderId="9" xfId="17" applyNumberFormat="1" applyFont="1" applyBorder="1"/>
    <xf numFmtId="2" fontId="23" fillId="0" borderId="51" xfId="17" applyNumberFormat="1" applyFont="1" applyBorder="1" applyAlignment="1">
      <alignment horizontal="left" shrinkToFit="1"/>
    </xf>
    <xf numFmtId="2" fontId="23" fillId="0" borderId="6" xfId="17" applyNumberFormat="1" applyFont="1" applyBorder="1" applyAlignment="1">
      <alignment horizontal="center" shrinkToFit="1"/>
    </xf>
    <xf numFmtId="2" fontId="32" fillId="0" borderId="57" xfId="17" applyNumberFormat="1" applyFont="1" applyBorder="1" applyAlignment="1">
      <alignment horizontal="left" shrinkToFit="1"/>
    </xf>
    <xf numFmtId="1" fontId="23" fillId="0" borderId="27" xfId="17" quotePrefix="1" applyNumberFormat="1" applyFont="1" applyBorder="1" applyAlignment="1">
      <alignment horizontal="center"/>
    </xf>
    <xf numFmtId="167" fontId="30" fillId="0" borderId="4" xfId="1" applyNumberFormat="1" applyFont="1" applyBorder="1" applyAlignment="1">
      <alignment horizontal="center" vertical="center" wrapText="1"/>
    </xf>
    <xf numFmtId="167" fontId="27" fillId="0" borderId="4" xfId="1" applyNumberFormat="1" applyFont="1" applyBorder="1" applyAlignment="1">
      <alignment horizontal="center" vertical="center"/>
    </xf>
    <xf numFmtId="167" fontId="27" fillId="0" borderId="15" xfId="1" applyNumberFormat="1" applyFont="1" applyBorder="1" applyAlignment="1">
      <alignment horizontal="center" vertical="center"/>
    </xf>
    <xf numFmtId="167" fontId="28" fillId="0" borderId="59" xfId="1" applyNumberFormat="1" applyFont="1" applyBorder="1" applyAlignment="1">
      <alignment vertical="center"/>
    </xf>
    <xf numFmtId="167" fontId="32" fillId="0" borderId="26" xfId="1" applyNumberFormat="1" applyFont="1" applyBorder="1"/>
    <xf numFmtId="167" fontId="28" fillId="0" borderId="26" xfId="1" applyNumberFormat="1" applyFont="1" applyBorder="1"/>
    <xf numFmtId="167" fontId="23" fillId="0" borderId="26" xfId="1" applyNumberFormat="1" applyFont="1" applyBorder="1" applyAlignment="1">
      <alignment horizontal="right" shrinkToFit="1"/>
    </xf>
    <xf numFmtId="167" fontId="29" fillId="0" borderId="26" xfId="1" applyNumberFormat="1" applyFont="1" applyBorder="1"/>
    <xf numFmtId="167" fontId="57" fillId="0" borderId="26" xfId="1" applyNumberFormat="1" applyFont="1" applyBorder="1"/>
    <xf numFmtId="167" fontId="43" fillId="0" borderId="26" xfId="1" applyNumberFormat="1" applyFont="1" applyBorder="1"/>
    <xf numFmtId="167" fontId="23" fillId="0" borderId="26" xfId="1" applyNumberFormat="1" applyFont="1" applyBorder="1"/>
    <xf numFmtId="167" fontId="41" fillId="0" borderId="0" xfId="1" applyNumberFormat="1" applyFont="1"/>
    <xf numFmtId="167" fontId="27" fillId="0" borderId="0" xfId="1" applyNumberFormat="1" applyFont="1"/>
    <xf numFmtId="167" fontId="28" fillId="0" borderId="10" xfId="1" applyNumberFormat="1" applyFont="1" applyBorder="1"/>
    <xf numFmtId="167" fontId="23" fillId="0" borderId="5" xfId="1" applyNumberFormat="1" applyFont="1" applyBorder="1" applyAlignment="1">
      <alignment horizontal="right"/>
    </xf>
    <xf numFmtId="167" fontId="42" fillId="0" borderId="5" xfId="1" applyNumberFormat="1" applyFont="1" applyBorder="1"/>
    <xf numFmtId="167" fontId="23" fillId="0" borderId="5" xfId="1" applyNumberFormat="1" applyFont="1" applyBorder="1" applyAlignment="1">
      <alignment horizontal="right" shrinkToFit="1"/>
    </xf>
    <xf numFmtId="167" fontId="43" fillId="0" borderId="10" xfId="1" applyNumberFormat="1" applyFont="1" applyBorder="1"/>
    <xf numFmtId="167" fontId="42" fillId="0" borderId="5" xfId="1" applyNumberFormat="1" applyFont="1" applyBorder="1" applyAlignment="1">
      <alignment horizontal="right" shrinkToFit="1"/>
    </xf>
    <xf numFmtId="167" fontId="50" fillId="0" borderId="59" xfId="1" applyNumberFormat="1" applyFont="1" applyBorder="1" applyAlignment="1">
      <alignment horizontal="right" shrinkToFit="1"/>
    </xf>
    <xf numFmtId="167" fontId="50" fillId="0" borderId="26" xfId="1" applyNumberFormat="1" applyFont="1" applyBorder="1" applyAlignment="1">
      <alignment horizontal="right" shrinkToFit="1"/>
    </xf>
    <xf numFmtId="0" fontId="37" fillId="0" borderId="62" xfId="0" applyFont="1" applyBorder="1"/>
    <xf numFmtId="167" fontId="37" fillId="0" borderId="62" xfId="1" applyNumberFormat="1" applyFont="1" applyBorder="1" applyAlignment="1"/>
    <xf numFmtId="0" fontId="37" fillId="0" borderId="4" xfId="0" applyFont="1" applyBorder="1"/>
    <xf numFmtId="167" fontId="38" fillId="0" borderId="4" xfId="1" applyNumberFormat="1" applyFont="1" applyBorder="1"/>
    <xf numFmtId="167" fontId="37" fillId="0" borderId="4" xfId="1" applyNumberFormat="1" applyFont="1" applyBorder="1"/>
    <xf numFmtId="0" fontId="37" fillId="0" borderId="64" xfId="0" applyFont="1" applyBorder="1"/>
    <xf numFmtId="2" fontId="24" fillId="0" borderId="65" xfId="17" applyNumberFormat="1" applyFont="1" applyBorder="1" applyAlignment="1">
      <alignment horizontal="left" shrinkToFit="1"/>
    </xf>
    <xf numFmtId="3" fontId="50" fillId="0" borderId="18" xfId="17" applyNumberFormat="1" applyFont="1" applyBorder="1" applyAlignment="1">
      <alignment vertical="center"/>
    </xf>
    <xf numFmtId="167" fontId="48" fillId="0" borderId="26" xfId="1" applyNumberFormat="1" applyFont="1" applyBorder="1"/>
    <xf numFmtId="167" fontId="61" fillId="0" borderId="62" xfId="1" applyNumberFormat="1" applyFont="1" applyBorder="1" applyAlignment="1"/>
    <xf numFmtId="167" fontId="62" fillId="0" borderId="26" xfId="1" applyNumberFormat="1" applyFont="1" applyBorder="1" applyAlignment="1">
      <alignment horizontal="right" shrinkToFit="1"/>
    </xf>
    <xf numFmtId="167" fontId="61" fillId="0" borderId="4" xfId="1" applyNumberFormat="1" applyFont="1" applyBorder="1"/>
    <xf numFmtId="0" fontId="51" fillId="0" borderId="0" xfId="0" applyFont="1" applyAlignment="1">
      <alignment horizontal="center"/>
    </xf>
    <xf numFmtId="1" fontId="37" fillId="0" borderId="4" xfId="0" applyNumberFormat="1" applyFont="1" applyBorder="1"/>
    <xf numFmtId="0" fontId="51" fillId="0" borderId="0" xfId="0" applyFont="1"/>
    <xf numFmtId="167" fontId="50" fillId="0" borderId="0" xfId="1" applyNumberFormat="1" applyFont="1"/>
    <xf numFmtId="0" fontId="32" fillId="4" borderId="36" xfId="0" applyFont="1" applyFill="1" applyBorder="1"/>
    <xf numFmtId="0" fontId="32" fillId="0" borderId="62" xfId="0" applyFont="1" applyBorder="1" applyAlignment="1">
      <alignment horizontal="center"/>
    </xf>
    <xf numFmtId="0" fontId="32" fillId="0" borderId="64" xfId="0" applyFont="1" applyBorder="1"/>
    <xf numFmtId="2" fontId="23" fillId="0" borderId="62" xfId="17" applyNumberFormat="1" applyFont="1" applyBorder="1" applyAlignment="1">
      <alignment horizontal="center"/>
    </xf>
    <xf numFmtId="2" fontId="55" fillId="0" borderId="36" xfId="17" applyNumberFormat="1" applyFont="1" applyBorder="1" applyAlignment="1">
      <alignment horizontal="center"/>
    </xf>
    <xf numFmtId="165" fontId="28" fillId="0" borderId="14" xfId="17" applyNumberFormat="1" applyFont="1" applyBorder="1" applyAlignment="1">
      <alignment horizontal="left"/>
    </xf>
    <xf numFmtId="166" fontId="37" fillId="0" borderId="0" xfId="1" applyNumberFormat="1" applyFont="1" applyAlignment="1">
      <alignment vertical="center"/>
    </xf>
    <xf numFmtId="166" fontId="41" fillId="0" borderId="12" xfId="1" applyNumberFormat="1" applyFont="1" applyBorder="1"/>
    <xf numFmtId="166" fontId="28" fillId="0" borderId="0" xfId="1" applyNumberFormat="1" applyFont="1"/>
    <xf numFmtId="166" fontId="37" fillId="0" borderId="0" xfId="1" applyNumberFormat="1" applyFont="1"/>
    <xf numFmtId="1" fontId="38" fillId="4" borderId="50" xfId="17" quotePrefix="1" applyNumberFormat="1" applyFont="1" applyFill="1" applyBorder="1" applyAlignment="1">
      <alignment horizontal="centerContinuous"/>
    </xf>
    <xf numFmtId="49" fontId="38" fillId="0" borderId="6" xfId="0" applyNumberFormat="1" applyFont="1" applyBorder="1" applyAlignment="1">
      <alignment horizontal="center" shrinkToFit="1"/>
    </xf>
    <xf numFmtId="2" fontId="42" fillId="0" borderId="52" xfId="17" applyNumberFormat="1" applyFont="1" applyBorder="1" applyAlignment="1">
      <alignment horizontal="left" shrinkToFit="1"/>
    </xf>
    <xf numFmtId="2" fontId="38" fillId="0" borderId="6" xfId="17" applyNumberFormat="1" applyFont="1" applyBorder="1" applyAlignment="1">
      <alignment horizontal="right" shrinkToFit="1"/>
    </xf>
    <xf numFmtId="3" fontId="37" fillId="0" borderId="34" xfId="0" applyNumberFormat="1" applyFont="1" applyBorder="1" applyAlignment="1">
      <alignment horizontal="right" vertical="center"/>
    </xf>
    <xf numFmtId="167" fontId="28" fillId="0" borderId="53" xfId="1" applyNumberFormat="1" applyFont="1" applyBorder="1"/>
    <xf numFmtId="0" fontId="32" fillId="0" borderId="26" xfId="15" applyFont="1" applyBorder="1" applyAlignment="1">
      <alignment horizontal="center" vertical="center" shrinkToFit="1"/>
    </xf>
    <xf numFmtId="49" fontId="32" fillId="0" borderId="26" xfId="18" applyNumberFormat="1" applyFont="1" applyBorder="1" applyAlignment="1">
      <alignment horizontal="center" shrinkToFit="1"/>
    </xf>
    <xf numFmtId="3" fontId="37" fillId="0" borderId="26" xfId="0" applyNumberFormat="1" applyFont="1" applyBorder="1" applyAlignment="1">
      <alignment horizontal="right"/>
    </xf>
    <xf numFmtId="2" fontId="52" fillId="0" borderId="26" xfId="17" applyNumberFormat="1" applyFont="1" applyBorder="1" applyAlignment="1">
      <alignment horizontal="center"/>
    </xf>
    <xf numFmtId="0" fontId="23" fillId="0" borderId="26" xfId="0" applyFont="1" applyBorder="1"/>
    <xf numFmtId="0" fontId="23" fillId="4" borderId="26" xfId="15" applyFont="1" applyFill="1" applyBorder="1" applyAlignment="1">
      <alignment horizontal="center" vertical="center" shrinkToFit="1"/>
    </xf>
    <xf numFmtId="0" fontId="28" fillId="0" borderId="33" xfId="0" applyFont="1" applyBorder="1"/>
    <xf numFmtId="0" fontId="24" fillId="0" borderId="26" xfId="15" applyFont="1" applyBorder="1" applyAlignment="1">
      <alignment horizontal="center" shrinkToFit="1"/>
    </xf>
    <xf numFmtId="3" fontId="33" fillId="0" borderId="26" xfId="0" applyNumberFormat="1" applyFont="1" applyBorder="1"/>
    <xf numFmtId="0" fontId="27" fillId="0" borderId="33" xfId="0" applyFont="1" applyBorder="1"/>
    <xf numFmtId="3" fontId="44" fillId="0" borderId="26" xfId="0" applyNumberFormat="1" applyFont="1" applyBorder="1"/>
    <xf numFmtId="0" fontId="32" fillId="0" borderId="33" xfId="0" applyFont="1" applyBorder="1"/>
    <xf numFmtId="167" fontId="54" fillId="0" borderId="0" xfId="1" applyNumberFormat="1" applyFont="1" applyBorder="1"/>
    <xf numFmtId="0" fontId="23" fillId="0" borderId="26" xfId="18" applyFont="1" applyBorder="1" applyAlignment="1">
      <alignment horizontal="left" shrinkToFit="1"/>
    </xf>
    <xf numFmtId="3" fontId="38" fillId="0" borderId="26" xfId="0" applyNumberFormat="1" applyFont="1" applyBorder="1"/>
    <xf numFmtId="0" fontId="38" fillId="0" borderId="26" xfId="0" applyFont="1" applyBorder="1" applyAlignment="1">
      <alignment horizontal="center" shrinkToFit="1"/>
    </xf>
    <xf numFmtId="0" fontId="32" fillId="4" borderId="26" xfId="0" applyFont="1" applyFill="1" applyBorder="1" applyAlignment="1">
      <alignment horizontal="center"/>
    </xf>
    <xf numFmtId="49" fontId="31" fillId="4" borderId="66" xfId="17" applyNumberFormat="1" applyFont="1" applyFill="1" applyBorder="1" applyAlignment="1">
      <alignment horizontal="center"/>
    </xf>
    <xf numFmtId="49" fontId="32" fillId="4" borderId="26" xfId="18" applyNumberFormat="1" applyFont="1" applyFill="1" applyBorder="1" applyAlignment="1">
      <alignment horizontal="center" shrinkToFit="1"/>
    </xf>
    <xf numFmtId="0" fontId="23" fillId="0" borderId="67" xfId="16" applyFont="1" applyBorder="1"/>
    <xf numFmtId="167" fontId="34" fillId="0" borderId="0" xfId="1" applyNumberFormat="1" applyFont="1" applyBorder="1" applyAlignment="1">
      <alignment horizontal="center"/>
    </xf>
    <xf numFmtId="0" fontId="23" fillId="0" borderId="68" xfId="16" applyFont="1" applyBorder="1"/>
    <xf numFmtId="167" fontId="33" fillId="0" borderId="0" xfId="1" applyNumberFormat="1" applyFont="1" applyBorder="1" applyAlignment="1">
      <alignment horizontal="center"/>
    </xf>
    <xf numFmtId="0" fontId="23" fillId="0" borderId="0" xfId="16" applyFont="1"/>
    <xf numFmtId="0" fontId="23" fillId="0" borderId="0" xfId="16" applyFont="1" applyAlignment="1">
      <alignment horizontal="center"/>
    </xf>
    <xf numFmtId="167" fontId="32" fillId="4" borderId="0" xfId="1" applyNumberFormat="1" applyFont="1" applyFill="1" applyBorder="1" applyAlignment="1"/>
    <xf numFmtId="167" fontId="53" fillId="4" borderId="0" xfId="1" applyNumberFormat="1" applyFont="1" applyFill="1" applyBorder="1" applyAlignment="1"/>
    <xf numFmtId="167" fontId="32" fillId="4" borderId="0" xfId="1" applyNumberFormat="1" applyFont="1" applyFill="1" applyBorder="1"/>
    <xf numFmtId="167" fontId="23" fillId="0" borderId="0" xfId="1" applyNumberFormat="1" applyFont="1" applyBorder="1"/>
    <xf numFmtId="0" fontId="23" fillId="0" borderId="11" xfId="16" applyFont="1" applyBorder="1"/>
    <xf numFmtId="167" fontId="34" fillId="0" borderId="11" xfId="1" applyNumberFormat="1" applyFont="1" applyBorder="1" applyAlignment="1">
      <alignment horizontal="center"/>
    </xf>
    <xf numFmtId="0" fontId="25" fillId="0" borderId="11" xfId="16" applyFont="1" applyBorder="1"/>
    <xf numFmtId="0" fontId="32" fillId="0" borderId="0" xfId="0" applyFont="1"/>
    <xf numFmtId="164" fontId="33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49" fillId="0" borderId="0" xfId="0" applyFont="1"/>
    <xf numFmtId="0" fontId="32" fillId="0" borderId="0" xfId="0" applyFont="1" applyAlignment="1">
      <alignment horizontal="right"/>
    </xf>
    <xf numFmtId="166" fontId="27" fillId="0" borderId="3" xfId="39" applyNumberFormat="1" applyFont="1" applyFill="1" applyBorder="1" applyAlignment="1">
      <alignment horizontal="center" vertical="center"/>
    </xf>
    <xf numFmtId="166" fontId="32" fillId="0" borderId="0" xfId="1" applyNumberFormat="1" applyFont="1" applyFill="1" applyBorder="1"/>
    <xf numFmtId="166" fontId="32" fillId="0" borderId="0" xfId="1" applyNumberFormat="1" applyFont="1" applyFill="1"/>
    <xf numFmtId="166" fontId="32" fillId="0" borderId="0" xfId="1" applyNumberFormat="1" applyFont="1" applyFill="1" applyAlignment="1">
      <alignment horizontal="right"/>
    </xf>
    <xf numFmtId="166" fontId="32" fillId="0" borderId="0" xfId="1" quotePrefix="1" applyNumberFormat="1" applyFont="1" applyFill="1" applyAlignment="1">
      <alignment horizontal="center"/>
    </xf>
    <xf numFmtId="166" fontId="28" fillId="0" borderId="71" xfId="1" applyNumberFormat="1" applyFont="1" applyFill="1" applyBorder="1" applyAlignment="1">
      <alignment horizontal="center" vertical="center"/>
    </xf>
    <xf numFmtId="166" fontId="32" fillId="0" borderId="0" xfId="1" applyNumberFormat="1" applyFont="1" applyFill="1" applyBorder="1" applyAlignment="1">
      <alignment horizontal="right"/>
    </xf>
    <xf numFmtId="166" fontId="32" fillId="0" borderId="0" xfId="1" applyNumberFormat="1" applyFont="1" applyFill="1" applyAlignment="1">
      <alignment horizontal="left"/>
    </xf>
    <xf numFmtId="166" fontId="37" fillId="0" borderId="0" xfId="1" applyNumberFormat="1" applyFont="1" applyFill="1"/>
    <xf numFmtId="0" fontId="37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0" fontId="63" fillId="0" borderId="0" xfId="0" applyFont="1" applyAlignment="1">
      <alignment horizontal="center" vertical="center"/>
    </xf>
    <xf numFmtId="164" fontId="41" fillId="0" borderId="0" xfId="0" applyNumberFormat="1" applyFont="1" applyAlignment="1">
      <alignment horizontal="center" vertical="center"/>
    </xf>
    <xf numFmtId="167" fontId="32" fillId="0" borderId="3" xfId="1" quotePrefix="1" applyNumberFormat="1" applyFont="1" applyFill="1" applyBorder="1"/>
    <xf numFmtId="167" fontId="33" fillId="0" borderId="0" xfId="1" applyNumberFormat="1" applyFont="1" applyFill="1" applyAlignment="1">
      <alignment horizontal="center" vertical="center"/>
    </xf>
    <xf numFmtId="167" fontId="32" fillId="0" borderId="0" xfId="1" applyNumberFormat="1" applyFont="1" applyFill="1" applyAlignment="1">
      <alignment horizontal="center"/>
    </xf>
    <xf numFmtId="167" fontId="41" fillId="0" borderId="0" xfId="1" applyNumberFormat="1" applyFont="1" applyFill="1" applyAlignment="1">
      <alignment horizontal="center" vertical="center"/>
    </xf>
    <xf numFmtId="166" fontId="32" fillId="0" borderId="0" xfId="1" applyNumberFormat="1" applyFont="1" applyFill="1" applyAlignment="1">
      <alignment horizontal="center"/>
    </xf>
    <xf numFmtId="0" fontId="28" fillId="0" borderId="0" xfId="0" applyFont="1" applyAlignment="1">
      <alignment vertical="center" wrapText="1"/>
    </xf>
    <xf numFmtId="166" fontId="41" fillId="5" borderId="0" xfId="1" applyNumberFormat="1" applyFont="1" applyFill="1" applyAlignment="1"/>
    <xf numFmtId="166" fontId="37" fillId="5" borderId="0" xfId="1" applyNumberFormat="1" applyFont="1" applyFill="1"/>
    <xf numFmtId="0" fontId="41" fillId="5" borderId="0" xfId="0" applyFont="1" applyFill="1"/>
    <xf numFmtId="166" fontId="41" fillId="5" borderId="0" xfId="1" applyNumberFormat="1" applyFont="1" applyFill="1"/>
    <xf numFmtId="0" fontId="33" fillId="0" borderId="0" xfId="0" applyFont="1" applyAlignment="1">
      <alignment horizontal="center" vertical="center"/>
    </xf>
    <xf numFmtId="175" fontId="33" fillId="0" borderId="3" xfId="1" applyNumberFormat="1" applyFont="1" applyFill="1" applyBorder="1" applyAlignment="1">
      <alignment horizontal="center" vertical="center"/>
    </xf>
    <xf numFmtId="166" fontId="33" fillId="0" borderId="3" xfId="39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74" fontId="33" fillId="0" borderId="3" xfId="0" applyNumberFormat="1" applyFont="1" applyBorder="1" applyAlignment="1">
      <alignment horizontal="center" vertical="center"/>
    </xf>
    <xf numFmtId="167" fontId="33" fillId="0" borderId="3" xfId="1" applyNumberFormat="1" applyFont="1" applyFill="1" applyBorder="1" applyAlignment="1">
      <alignment horizontal="center" vertical="center"/>
    </xf>
    <xf numFmtId="174" fontId="33" fillId="0" borderId="3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left"/>
    </xf>
    <xf numFmtId="166" fontId="33" fillId="0" borderId="0" xfId="1" applyNumberFormat="1" applyFont="1" applyFill="1" applyAlignment="1"/>
    <xf numFmtId="166" fontId="49" fillId="0" borderId="0" xfId="1" applyNumberFormat="1" applyFont="1" applyFill="1" applyAlignment="1"/>
    <xf numFmtId="0" fontId="51" fillId="0" borderId="0" xfId="0" applyFont="1" applyAlignment="1">
      <alignment vertical="center" wrapText="1"/>
    </xf>
    <xf numFmtId="166" fontId="49" fillId="0" borderId="0" xfId="1" applyNumberFormat="1" applyFont="1" applyFill="1"/>
    <xf numFmtId="166" fontId="41" fillId="5" borderId="0" xfId="1" applyNumberFormat="1" applyFont="1" applyFill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66" fontId="37" fillId="5" borderId="0" xfId="1" applyNumberFormat="1" applyFont="1" applyFill="1" applyAlignment="1"/>
    <xf numFmtId="176" fontId="32" fillId="0" borderId="0" xfId="0" applyNumberFormat="1" applyFont="1" applyAlignment="1">
      <alignment horizontal="center" vertical="center"/>
    </xf>
    <xf numFmtId="175" fontId="33" fillId="6" borderId="3" xfId="1" applyNumberFormat="1" applyFont="1" applyFill="1" applyBorder="1" applyAlignment="1">
      <alignment horizontal="center" vertical="center"/>
    </xf>
    <xf numFmtId="166" fontId="33" fillId="6" borderId="3" xfId="39" applyNumberFormat="1" applyFont="1" applyFill="1" applyBorder="1" applyAlignment="1">
      <alignment horizontal="center" vertical="center"/>
    </xf>
    <xf numFmtId="0" fontId="32" fillId="0" borderId="89" xfId="0" applyFont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32" fillId="6" borderId="89" xfId="0" applyFont="1" applyFill="1" applyBorder="1" applyAlignment="1">
      <alignment horizontal="center" vertical="center"/>
    </xf>
    <xf numFmtId="166" fontId="32" fillId="0" borderId="3" xfId="1" applyNumberFormat="1" applyFont="1" applyFill="1" applyBorder="1" applyAlignment="1">
      <alignment horizontal="center"/>
    </xf>
    <xf numFmtId="167" fontId="32" fillId="0" borderId="3" xfId="1" applyNumberFormat="1" applyFont="1" applyFill="1" applyBorder="1" applyAlignment="1">
      <alignment horizontal="center"/>
    </xf>
    <xf numFmtId="174" fontId="32" fillId="0" borderId="0" xfId="0" applyNumberFormat="1" applyFont="1" applyAlignment="1">
      <alignment horizontal="center" vertical="center"/>
    </xf>
    <xf numFmtId="0" fontId="32" fillId="5" borderId="0" xfId="0" applyFont="1" applyFill="1"/>
    <xf numFmtId="166" fontId="32" fillId="5" borderId="0" xfId="1" applyNumberFormat="1" applyFont="1" applyFill="1"/>
    <xf numFmtId="164" fontId="33" fillId="5" borderId="0" xfId="0" applyNumberFormat="1" applyFont="1" applyFill="1" applyAlignment="1">
      <alignment horizontal="center" vertical="center"/>
    </xf>
    <xf numFmtId="167" fontId="33" fillId="5" borderId="0" xfId="1" applyNumberFormat="1" applyFont="1" applyFill="1" applyAlignment="1">
      <alignment horizontal="center" vertical="center"/>
    </xf>
    <xf numFmtId="0" fontId="32" fillId="5" borderId="0" xfId="0" applyFont="1" applyFill="1" applyAlignment="1">
      <alignment horizontal="center"/>
    </xf>
    <xf numFmtId="0" fontId="32" fillId="0" borderId="3" xfId="0" applyFont="1" applyBorder="1"/>
    <xf numFmtId="0" fontId="41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32" fillId="0" borderId="91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0" fontId="32" fillId="0" borderId="72" xfId="0" applyFont="1" applyBorder="1" applyAlignment="1">
      <alignment horizontal="center" vertical="center"/>
    </xf>
    <xf numFmtId="175" fontId="33" fillId="0" borderId="3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/>
    </xf>
    <xf numFmtId="175" fontId="33" fillId="6" borderId="3" xfId="0" applyNumberFormat="1" applyFont="1" applyFill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0" fontId="32" fillId="0" borderId="89" xfId="0" quotePrefix="1" applyFont="1" applyBorder="1" applyAlignment="1">
      <alignment horizontal="center" vertical="center"/>
    </xf>
    <xf numFmtId="175" fontId="33" fillId="7" borderId="3" xfId="1" applyNumberFormat="1" applyFont="1" applyFill="1" applyBorder="1" applyAlignment="1">
      <alignment horizontal="center" vertical="center"/>
    </xf>
    <xf numFmtId="166" fontId="33" fillId="7" borderId="3" xfId="39" applyNumberFormat="1" applyFont="1" applyFill="1" applyBorder="1" applyAlignment="1">
      <alignment horizontal="center" vertical="center"/>
    </xf>
    <xf numFmtId="0" fontId="33" fillId="7" borderId="2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0" fontId="32" fillId="7" borderId="89" xfId="0" applyFont="1" applyFill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7" fontId="32" fillId="7" borderId="3" xfId="1" applyNumberFormat="1" applyFont="1" applyFill="1" applyBorder="1" applyAlignment="1">
      <alignment horizontal="center"/>
    </xf>
    <xf numFmtId="166" fontId="32" fillId="7" borderId="3" xfId="1" applyNumberFormat="1" applyFont="1" applyFill="1" applyBorder="1" applyAlignment="1">
      <alignment horizontal="center"/>
    </xf>
    <xf numFmtId="0" fontId="33" fillId="0" borderId="3" xfId="0" applyFont="1" applyBorder="1" applyAlignment="1">
      <alignment horizontal="center" vertical="center"/>
    </xf>
    <xf numFmtId="0" fontId="46" fillId="0" borderId="69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quotePrefix="1" applyFont="1" applyAlignment="1">
      <alignment horizontal="center"/>
    </xf>
    <xf numFmtId="0" fontId="41" fillId="0" borderId="0" xfId="0" applyFont="1" applyAlignment="1">
      <alignment horizontal="center"/>
    </xf>
    <xf numFmtId="0" fontId="27" fillId="0" borderId="5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2" fontId="27" fillId="0" borderId="54" xfId="17" applyNumberFormat="1" applyFont="1" applyBorder="1" applyAlignment="1">
      <alignment horizontal="center"/>
    </xf>
    <xf numFmtId="2" fontId="27" fillId="0" borderId="14" xfId="17" applyNumberFormat="1" applyFont="1" applyBorder="1" applyAlignment="1">
      <alignment horizontal="center"/>
    </xf>
    <xf numFmtId="2" fontId="44" fillId="0" borderId="17" xfId="17" applyNumberFormat="1" applyFont="1" applyBorder="1" applyAlignment="1">
      <alignment horizontal="left" shrinkToFit="1"/>
    </xf>
    <xf numFmtId="2" fontId="44" fillId="0" borderId="12" xfId="17" applyNumberFormat="1" applyFont="1" applyBorder="1" applyAlignment="1">
      <alignment horizontal="left" shrinkToFit="1"/>
    </xf>
    <xf numFmtId="2" fontId="44" fillId="0" borderId="18" xfId="17" applyNumberFormat="1" applyFont="1" applyBorder="1" applyAlignment="1">
      <alignment horizontal="left" shrinkToFit="1"/>
    </xf>
    <xf numFmtId="0" fontId="23" fillId="0" borderId="73" xfId="16" applyFont="1" applyBorder="1" applyAlignment="1">
      <alignment horizontal="center"/>
    </xf>
    <xf numFmtId="0" fontId="23" fillId="0" borderId="74" xfId="16" applyFont="1" applyBorder="1" applyAlignment="1">
      <alignment horizontal="center"/>
    </xf>
    <xf numFmtId="0" fontId="23" fillId="0" borderId="75" xfId="16" applyFont="1" applyBorder="1" applyAlignment="1">
      <alignment horizontal="center"/>
    </xf>
    <xf numFmtId="0" fontId="23" fillId="0" borderId="76" xfId="16" applyFont="1" applyBorder="1" applyAlignment="1">
      <alignment horizontal="center"/>
    </xf>
    <xf numFmtId="0" fontId="23" fillId="0" borderId="30" xfId="16" applyFont="1" applyBorder="1" applyAlignment="1">
      <alignment horizontal="center"/>
    </xf>
    <xf numFmtId="0" fontId="23" fillId="0" borderId="77" xfId="16" applyFont="1" applyBorder="1" applyAlignment="1">
      <alignment horizontal="center"/>
    </xf>
    <xf numFmtId="0" fontId="32" fillId="0" borderId="0" xfId="0" quotePrefix="1" applyFont="1" applyAlignment="1">
      <alignment horizontal="center"/>
    </xf>
    <xf numFmtId="0" fontId="27" fillId="0" borderId="50" xfId="0" applyFont="1" applyBorder="1" applyAlignment="1">
      <alignment horizontal="center" vertical="center" wrapText="1"/>
    </xf>
    <xf numFmtId="0" fontId="27" fillId="0" borderId="78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2" fontId="44" fillId="0" borderId="28" xfId="17" applyNumberFormat="1" applyFont="1" applyBorder="1" applyAlignment="1">
      <alignment horizontal="left" shrinkToFit="1"/>
    </xf>
    <xf numFmtId="2" fontId="44" fillId="0" borderId="66" xfId="17" applyNumberFormat="1" applyFont="1" applyBorder="1" applyAlignment="1">
      <alignment horizontal="left" shrinkToFit="1"/>
    </xf>
    <xf numFmtId="2" fontId="44" fillId="0" borderId="36" xfId="17" applyNumberFormat="1" applyFont="1" applyBorder="1" applyAlignment="1">
      <alignment horizontal="left" shrinkToFit="1"/>
    </xf>
    <xf numFmtId="0" fontId="41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2" fillId="5" borderId="0" xfId="0" applyFont="1" applyFill="1" applyAlignment="1">
      <alignment horizontal="center"/>
    </xf>
    <xf numFmtId="0" fontId="35" fillId="5" borderId="85" xfId="0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33" fillId="0" borderId="82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3" fillId="0" borderId="70" xfId="0" applyFont="1" applyBorder="1" applyAlignment="1">
      <alignment horizontal="center" vertical="center" wrapText="1"/>
    </xf>
    <xf numFmtId="0" fontId="41" fillId="0" borderId="87" xfId="0" applyFont="1" applyBorder="1" applyAlignment="1">
      <alignment horizontal="center" vertical="center"/>
    </xf>
    <xf numFmtId="0" fontId="41" fillId="0" borderId="90" xfId="0" applyFont="1" applyBorder="1" applyAlignment="1">
      <alignment horizontal="center" vertical="center"/>
    </xf>
    <xf numFmtId="0" fontId="41" fillId="0" borderId="88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0" fontId="41" fillId="0" borderId="85" xfId="0" applyFont="1" applyBorder="1" applyAlignment="1">
      <alignment horizontal="center" vertical="center"/>
    </xf>
    <xf numFmtId="0" fontId="41" fillId="0" borderId="86" xfId="0" applyFont="1" applyBorder="1" applyAlignment="1">
      <alignment horizontal="center" vertical="center"/>
    </xf>
    <xf numFmtId="164" fontId="33" fillId="0" borderId="83" xfId="0" applyNumberFormat="1" applyFont="1" applyBorder="1" applyAlignment="1">
      <alignment horizontal="center" vertical="center"/>
    </xf>
    <xf numFmtId="164" fontId="33" fillId="0" borderId="2" xfId="0" applyNumberFormat="1" applyFont="1" applyBorder="1" applyAlignment="1">
      <alignment horizontal="center" vertical="center"/>
    </xf>
    <xf numFmtId="164" fontId="33" fillId="0" borderId="72" xfId="0" applyNumberFormat="1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 wrapText="1"/>
    </xf>
    <xf numFmtId="164" fontId="33" fillId="0" borderId="3" xfId="0" applyNumberFormat="1" applyFont="1" applyBorder="1" applyAlignment="1">
      <alignment horizontal="center" vertical="center"/>
    </xf>
    <xf numFmtId="0" fontId="33" fillId="0" borderId="8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164" fontId="33" fillId="0" borderId="82" xfId="0" applyNumberFormat="1" applyFont="1" applyBorder="1" applyAlignment="1">
      <alignment horizontal="center" vertical="center"/>
    </xf>
    <xf numFmtId="164" fontId="33" fillId="0" borderId="23" xfId="0" applyNumberFormat="1" applyFont="1" applyBorder="1" applyAlignment="1">
      <alignment horizontal="center" vertical="center"/>
    </xf>
    <xf numFmtId="164" fontId="33" fillId="0" borderId="70" xfId="0" applyNumberFormat="1" applyFont="1" applyBorder="1" applyAlignment="1">
      <alignment horizontal="center" vertical="center"/>
    </xf>
    <xf numFmtId="164" fontId="33" fillId="0" borderId="82" xfId="0" applyNumberFormat="1" applyFont="1" applyBorder="1" applyAlignment="1">
      <alignment horizontal="center" vertical="center" wrapText="1"/>
    </xf>
    <xf numFmtId="164" fontId="33" fillId="0" borderId="23" xfId="0" applyNumberFormat="1" applyFont="1" applyBorder="1" applyAlignment="1">
      <alignment horizontal="center" vertical="center" wrapText="1"/>
    </xf>
    <xf numFmtId="164" fontId="33" fillId="0" borderId="70" xfId="0" applyNumberFormat="1" applyFont="1" applyBorder="1" applyAlignment="1">
      <alignment horizontal="center" vertical="center" wrapText="1"/>
    </xf>
    <xf numFmtId="167" fontId="33" fillId="0" borderId="82" xfId="1" applyNumberFormat="1" applyFont="1" applyFill="1" applyBorder="1" applyAlignment="1">
      <alignment horizontal="center" vertical="center" wrapText="1"/>
    </xf>
    <xf numFmtId="167" fontId="33" fillId="0" borderId="23" xfId="1" applyNumberFormat="1" applyFont="1" applyFill="1" applyBorder="1" applyAlignment="1">
      <alignment horizontal="center" vertical="center" wrapText="1"/>
    </xf>
    <xf numFmtId="167" fontId="33" fillId="0" borderId="70" xfId="1" applyNumberFormat="1" applyFont="1" applyFill="1" applyBorder="1" applyAlignment="1">
      <alignment horizontal="center" vertical="center" wrapText="1"/>
    </xf>
    <xf numFmtId="0" fontId="32" fillId="0" borderId="82" xfId="0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/>
    </xf>
    <xf numFmtId="0" fontId="33" fillId="0" borderId="82" xfId="0" applyFont="1" applyBorder="1" applyAlignment="1">
      <alignment vertical="center"/>
    </xf>
    <xf numFmtId="0" fontId="33" fillId="0" borderId="70" xfId="0" applyFont="1" applyBorder="1" applyAlignment="1">
      <alignment vertical="center"/>
    </xf>
    <xf numFmtId="0" fontId="37" fillId="0" borderId="3" xfId="0" applyFont="1" applyBorder="1" applyAlignment="1">
      <alignment horizontal="center" vertical="center"/>
    </xf>
    <xf numFmtId="0" fontId="33" fillId="0" borderId="82" xfId="0" applyFont="1" applyBorder="1" applyAlignment="1">
      <alignment vertical="center" wrapText="1"/>
    </xf>
    <xf numFmtId="0" fontId="33" fillId="0" borderId="70" xfId="0" applyFont="1" applyBorder="1" applyAlignment="1">
      <alignment vertical="center" wrapText="1"/>
    </xf>
    <xf numFmtId="0" fontId="32" fillId="0" borderId="82" xfId="0" applyFont="1" applyBorder="1" applyAlignment="1">
      <alignment vertical="center"/>
    </xf>
    <xf numFmtId="0" fontId="32" fillId="0" borderId="70" xfId="0" applyFont="1" applyBorder="1" applyAlignment="1">
      <alignment vertical="center"/>
    </xf>
    <xf numFmtId="0" fontId="33" fillId="0" borderId="23" xfId="0" applyFont="1" applyBorder="1" applyAlignment="1">
      <alignment vertical="center" wrapText="1"/>
    </xf>
    <xf numFmtId="0" fontId="37" fillId="0" borderId="82" xfId="0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33" fillId="0" borderId="82" xfId="0" applyFont="1" applyBorder="1" applyAlignment="1">
      <alignment horizontal="left" vertical="center" wrapText="1"/>
    </xf>
    <xf numFmtId="0" fontId="33" fillId="0" borderId="70" xfId="0" applyFont="1" applyBorder="1" applyAlignment="1">
      <alignment horizontal="left" vertical="center" wrapText="1"/>
    </xf>
    <xf numFmtId="0" fontId="32" fillId="0" borderId="82" xfId="0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33" fillId="0" borderId="83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/>
    </xf>
    <xf numFmtId="16" fontId="37" fillId="0" borderId="83" xfId="0" applyNumberFormat="1" applyFont="1" applyBorder="1" applyAlignment="1">
      <alignment vertical="center" wrapText="1"/>
    </xf>
    <xf numFmtId="0" fontId="37" fillId="0" borderId="2" xfId="0" applyFont="1" applyBorder="1" applyAlignment="1">
      <alignment vertical="center" wrapText="1"/>
    </xf>
    <xf numFmtId="0" fontId="37" fillId="0" borderId="72" xfId="0" applyFont="1" applyBorder="1" applyAlignment="1">
      <alignment vertical="center" wrapText="1"/>
    </xf>
    <xf numFmtId="0" fontId="49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center" vertical="center"/>
    </xf>
    <xf numFmtId="0" fontId="65" fillId="0" borderId="83" xfId="0" applyFont="1" applyBorder="1" applyAlignment="1">
      <alignment vertical="center" wrapText="1"/>
    </xf>
    <xf numFmtId="0" fontId="63" fillId="0" borderId="2" xfId="0" applyFont="1" applyBorder="1" applyAlignment="1">
      <alignment vertical="center" wrapText="1"/>
    </xf>
    <xf numFmtId="0" fontId="63" fillId="0" borderId="72" xfId="0" applyFont="1" applyBorder="1" applyAlignment="1">
      <alignment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88" xfId="0" applyFont="1" applyBorder="1" applyAlignment="1">
      <alignment horizontal="center" vertical="center"/>
    </xf>
    <xf numFmtId="0" fontId="33" fillId="0" borderId="84" xfId="0" applyFont="1" applyBorder="1" applyAlignment="1">
      <alignment horizontal="center" vertical="center"/>
    </xf>
    <xf numFmtId="0" fontId="33" fillId="0" borderId="85" xfId="0" applyFont="1" applyBorder="1" applyAlignment="1">
      <alignment horizontal="center" vertical="center"/>
    </xf>
    <xf numFmtId="0" fontId="33" fillId="0" borderId="86" xfId="0" applyFont="1" applyBorder="1" applyAlignment="1">
      <alignment horizontal="center" vertical="center"/>
    </xf>
    <xf numFmtId="0" fontId="33" fillId="0" borderId="3" xfId="0" applyFont="1" applyBorder="1" applyAlignment="1">
      <alignment vertical="center" wrapText="1"/>
    </xf>
    <xf numFmtId="0" fontId="33" fillId="0" borderId="87" xfId="0" applyFont="1" applyBorder="1" applyAlignment="1">
      <alignment vertical="center" wrapText="1"/>
    </xf>
    <xf numFmtId="0" fontId="33" fillId="0" borderId="84" xfId="0" applyFont="1" applyBorder="1" applyAlignment="1">
      <alignment vertical="center" wrapText="1"/>
    </xf>
    <xf numFmtId="0" fontId="37" fillId="0" borderId="83" xfId="0" applyFont="1" applyBorder="1" applyAlignment="1">
      <alignment vertical="center" wrapText="1"/>
    </xf>
    <xf numFmtId="0" fontId="33" fillId="0" borderId="82" xfId="0" applyFont="1" applyBorder="1" applyAlignment="1">
      <alignment horizontal="left" vertical="center"/>
    </xf>
    <xf numFmtId="0" fontId="33" fillId="0" borderId="70" xfId="0" applyFont="1" applyBorder="1" applyAlignment="1">
      <alignment horizontal="left" vertical="center"/>
    </xf>
    <xf numFmtId="0" fontId="32" fillId="0" borderId="3" xfId="0" applyFont="1" applyBorder="1" applyAlignment="1">
      <alignment horizontal="center"/>
    </xf>
    <xf numFmtId="2" fontId="45" fillId="0" borderId="0" xfId="17" applyNumberFormat="1" applyFont="1" applyAlignment="1">
      <alignment horizontal="center"/>
    </xf>
    <xf numFmtId="2" fontId="30" fillId="0" borderId="82" xfId="17" applyNumberFormat="1" applyFont="1" applyBorder="1" applyAlignment="1">
      <alignment horizontal="center" vertical="center" wrapText="1"/>
    </xf>
    <xf numFmtId="2" fontId="30" fillId="0" borderId="70" xfId="17" applyNumberFormat="1" applyFont="1" applyBorder="1" applyAlignment="1">
      <alignment horizontal="center" vertical="center" wrapText="1"/>
    </xf>
    <xf numFmtId="2" fontId="30" fillId="0" borderId="87" xfId="17" applyNumberFormat="1" applyFont="1" applyBorder="1" applyAlignment="1">
      <alignment horizontal="center" vertical="center" wrapText="1"/>
    </xf>
    <xf numFmtId="2" fontId="30" fillId="0" borderId="88" xfId="17" applyNumberFormat="1" applyFont="1" applyBorder="1" applyAlignment="1">
      <alignment horizontal="center" vertical="center" wrapText="1"/>
    </xf>
    <xf numFmtId="2" fontId="30" fillId="0" borderId="84" xfId="17" applyNumberFormat="1" applyFont="1" applyBorder="1" applyAlignment="1">
      <alignment horizontal="center" vertical="center" wrapText="1"/>
    </xf>
    <xf numFmtId="2" fontId="30" fillId="0" borderId="86" xfId="17" applyNumberFormat="1" applyFont="1" applyBorder="1" applyAlignment="1">
      <alignment horizontal="center" vertical="center" wrapText="1"/>
    </xf>
    <xf numFmtId="2" fontId="30" fillId="0" borderId="3" xfId="17" applyNumberFormat="1" applyFont="1" applyBorder="1" applyAlignment="1">
      <alignment horizontal="center" vertical="center" wrapText="1"/>
    </xf>
    <xf numFmtId="2" fontId="44" fillId="0" borderId="26" xfId="17" applyNumberFormat="1" applyFont="1" applyBorder="1" applyAlignment="1">
      <alignment horizontal="left" shrinkToFit="1"/>
    </xf>
    <xf numFmtId="1" fontId="37" fillId="0" borderId="62" xfId="0" applyNumberFormat="1" applyFont="1" applyBorder="1" applyAlignment="1">
      <alignment horizontal="center"/>
    </xf>
    <xf numFmtId="0" fontId="37" fillId="0" borderId="62" xfId="0" applyFont="1" applyBorder="1" applyAlignment="1">
      <alignment horizontal="center"/>
    </xf>
    <xf numFmtId="0" fontId="41" fillId="0" borderId="54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167" fontId="51" fillId="0" borderId="0" xfId="1" applyNumberFormat="1" applyFont="1" applyAlignment="1">
      <alignment horizontal="center"/>
    </xf>
    <xf numFmtId="0" fontId="41" fillId="0" borderId="50" xfId="0" applyFont="1" applyBorder="1" applyAlignment="1">
      <alignment horizontal="center" vertical="center" wrapText="1"/>
    </xf>
    <xf numFmtId="0" fontId="41" fillId="0" borderId="78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167" fontId="32" fillId="0" borderId="0" xfId="1" applyNumberFormat="1" applyFont="1" applyAlignment="1">
      <alignment horizontal="center"/>
    </xf>
    <xf numFmtId="0" fontId="33" fillId="0" borderId="0" xfId="0" applyFont="1" applyAlignment="1">
      <alignment horizontal="left"/>
    </xf>
    <xf numFmtId="167" fontId="32" fillId="0" borderId="85" xfId="1" applyNumberFormat="1" applyFont="1" applyBorder="1" applyAlignment="1">
      <alignment horizontal="center"/>
    </xf>
    <xf numFmtId="167" fontId="33" fillId="0" borderId="0" xfId="1" quotePrefix="1" applyNumberFormat="1" applyFont="1" applyAlignment="1">
      <alignment horizontal="center"/>
    </xf>
    <xf numFmtId="0" fontId="60" fillId="0" borderId="0" xfId="0" applyFont="1" applyAlignment="1">
      <alignment horizontal="center" vertical="center"/>
    </xf>
    <xf numFmtId="167" fontId="41" fillId="0" borderId="6" xfId="1" applyNumberFormat="1" applyFont="1" applyBorder="1" applyAlignment="1">
      <alignment horizontal="center" vertical="center" wrapText="1"/>
    </xf>
    <xf numFmtId="167" fontId="41" fillId="0" borderId="7" xfId="1" applyNumberFormat="1" applyFont="1" applyBorder="1" applyAlignment="1">
      <alignment horizontal="center" vertical="center" wrapText="1"/>
    </xf>
    <xf numFmtId="167" fontId="41" fillId="0" borderId="53" xfId="1" applyNumberFormat="1" applyFont="1" applyBorder="1" applyAlignment="1">
      <alignment horizontal="center" vertical="center" wrapText="1"/>
    </xf>
    <xf numFmtId="167" fontId="41" fillId="0" borderId="81" xfId="1" applyNumberFormat="1" applyFont="1" applyBorder="1" applyAlignment="1">
      <alignment horizontal="center" vertical="center" wrapText="1"/>
    </xf>
    <xf numFmtId="0" fontId="41" fillId="0" borderId="69" xfId="0" applyFont="1" applyBorder="1" applyAlignment="1">
      <alignment horizontal="center" vertical="center"/>
    </xf>
    <xf numFmtId="0" fontId="41" fillId="0" borderId="51" xfId="0" applyFont="1" applyBorder="1" applyAlignment="1">
      <alignment horizontal="center" vertical="center" wrapText="1"/>
    </xf>
    <xf numFmtId="0" fontId="41" fillId="0" borderId="52" xfId="0" applyFont="1" applyBorder="1" applyAlignment="1">
      <alignment horizontal="center" vertical="center" wrapText="1"/>
    </xf>
    <xf numFmtId="0" fontId="41" fillId="0" borderId="80" xfId="0" applyFont="1" applyBorder="1" applyAlignment="1">
      <alignment horizontal="center" vertical="center" wrapText="1"/>
    </xf>
    <xf numFmtId="0" fontId="41" fillId="0" borderId="79" xfId="0" applyFont="1" applyBorder="1" applyAlignment="1">
      <alignment horizontal="center" vertical="center" wrapText="1"/>
    </xf>
  </cellXfs>
  <cellStyles count="45">
    <cellStyle name="Comma" xfId="1" builtinId="3"/>
    <cellStyle name="Comma 2" xfId="39" xr:uid="{00000000-0005-0000-0000-000001000000}"/>
    <cellStyle name="Comma0" xfId="2" xr:uid="{00000000-0005-0000-0000-000002000000}"/>
    <cellStyle name="Currency0" xfId="3" xr:uid="{00000000-0005-0000-0000-000003000000}"/>
    <cellStyle name="Currency0 2" xfId="40" xr:uid="{00000000-0005-0000-0000-000004000000}"/>
    <cellStyle name="Date" xfId="4" xr:uid="{00000000-0005-0000-0000-000005000000}"/>
    <cellStyle name="Fixed" xfId="5" xr:uid="{00000000-0005-0000-0000-000006000000}"/>
    <cellStyle name="Grey" xfId="6" xr:uid="{00000000-0005-0000-0000-000007000000}"/>
    <cellStyle name="Header1" xfId="7" xr:uid="{00000000-0005-0000-0000-000008000000}"/>
    <cellStyle name="Header2" xfId="8" xr:uid="{00000000-0005-0000-0000-000009000000}"/>
    <cellStyle name="Heading 1" xfId="9" builtinId="16" customBuiltin="1"/>
    <cellStyle name="Heading 2" xfId="10" builtinId="17" customBuiltin="1"/>
    <cellStyle name="Input [yellow]" xfId="11" xr:uid="{00000000-0005-0000-0000-00000C000000}"/>
    <cellStyle name="LUONGTOTAL" xfId="12" xr:uid="{00000000-0005-0000-0000-00000D000000}"/>
    <cellStyle name="no dec" xfId="13" xr:uid="{00000000-0005-0000-0000-00000E000000}"/>
    <cellStyle name="Normal" xfId="0" builtinId="0"/>
    <cellStyle name="Normal - Style1" xfId="14" xr:uid="{00000000-0005-0000-0000-000010000000}"/>
    <cellStyle name="Normal 2" xfId="41" xr:uid="{00000000-0005-0000-0000-000011000000}"/>
    <cellStyle name="Normal 2 2" xfId="42" xr:uid="{00000000-0005-0000-0000-000012000000}"/>
    <cellStyle name="Normal 2 2 2" xfId="44" xr:uid="{2A9EAC00-0267-42E7-9D12-D38D21C8646C}"/>
    <cellStyle name="Normal 2 3" xfId="43" xr:uid="{48ACB9C5-50E9-4098-91DC-8D295129A405}"/>
    <cellStyle name="Normal_clb-bh00" xfId="15" xr:uid="{00000000-0005-0000-0000-000013000000}"/>
    <cellStyle name="Normal_kkdm-t11" xfId="16" xr:uid="{00000000-0005-0000-0000-000014000000}"/>
    <cellStyle name="Normal_luongt9" xfId="17" xr:uid="{00000000-0005-0000-0000-000015000000}"/>
    <cellStyle name="Normal_Sheet2" xfId="18" xr:uid="{00000000-0005-0000-0000-000016000000}"/>
    <cellStyle name="Percent [2]" xfId="19" xr:uid="{00000000-0005-0000-0000-000017000000}"/>
    <cellStyle name="STLUONG" xfId="20" xr:uid="{00000000-0005-0000-0000-000018000000}"/>
    <cellStyle name="TD2LUONG" xfId="21" xr:uid="{00000000-0005-0000-0000-000019000000}"/>
    <cellStyle name="TD3LUONG" xfId="22" xr:uid="{00000000-0005-0000-0000-00001A000000}"/>
    <cellStyle name="TD4LUONG" xfId="23" xr:uid="{00000000-0005-0000-0000-00001B000000}"/>
    <cellStyle name="TD5LUONG" xfId="24" xr:uid="{00000000-0005-0000-0000-00001C000000}"/>
    <cellStyle name="TD6LUONG" xfId="25" xr:uid="{00000000-0005-0000-0000-00001D000000}"/>
    <cellStyle name="TDBL" xfId="26" xr:uid="{00000000-0005-0000-0000-00001E000000}"/>
    <cellStyle name="Total" xfId="27" builtinId="25" customBuiltin="1"/>
    <cellStyle name="똿뗦먛귟 [0.00]_PRODUCT DETAIL Q1" xfId="28" xr:uid="{00000000-0005-0000-0000-000020000000}"/>
    <cellStyle name="똿뗦먛귟_PRODUCT DETAIL Q1" xfId="29" xr:uid="{00000000-0005-0000-0000-000021000000}"/>
    <cellStyle name="믅됞 [0.00]_PRODUCT DETAIL Q1" xfId="30" xr:uid="{00000000-0005-0000-0000-000022000000}"/>
    <cellStyle name="믅됞_PRODUCT DETAIL Q1" xfId="31" xr:uid="{00000000-0005-0000-0000-000023000000}"/>
    <cellStyle name="백분율_HOBONG" xfId="32" xr:uid="{00000000-0005-0000-0000-000024000000}"/>
    <cellStyle name="뷭?_BOOKSHIP" xfId="33" xr:uid="{00000000-0005-0000-0000-000025000000}"/>
    <cellStyle name="콤마 [0]_1202" xfId="34" xr:uid="{00000000-0005-0000-0000-000026000000}"/>
    <cellStyle name="콤마_1202" xfId="35" xr:uid="{00000000-0005-0000-0000-000027000000}"/>
    <cellStyle name="통화 [0]_1202" xfId="36" xr:uid="{00000000-0005-0000-0000-000028000000}"/>
    <cellStyle name="통화_1202" xfId="37" xr:uid="{00000000-0005-0000-0000-000029000000}"/>
    <cellStyle name="표준_(정보부문)월별인원계획" xfId="38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MyUser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NG%20L&#431;&#416;NG%20-2011.1/BANG%20L&#431;&#416;NG%20T9-2011/LGBQT-CCKH3_T9_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MyUser"/>
      <sheetName val="6.2015"/>
      <sheetName val="PHIẾU THU (LÔ D-KH2)"/>
      <sheetName val="THONG BAO (LÔ D-KH2) (2)"/>
      <sheetName val="T6-2015 (Lô A)"/>
      <sheetName val="thong bao"/>
      <sheetName val="PHIẾU THU (Lô A)"/>
      <sheetName val="T6-2015 (Lô B)"/>
      <sheetName val="PHIẾU THU (LÔ B)"/>
      <sheetName val="Nước (Đã thanh toán)"/>
      <sheetName val="Nước (Chưa thanh toán)"/>
      <sheetName val="PQL (Đã thanh toán)"/>
      <sheetName val="PQL (Chưa thanh toán)"/>
      <sheetName val="BCTC (làm lai)"/>
      <sheetName val="BCTC(a.Bình trả lại)"/>
      <sheetName val="Phí QL"/>
      <sheetName val="NƯỚC"/>
      <sheetName val="Gas"/>
      <sheetName val="Điện"/>
      <sheetName val="THANG MÁY"/>
      <sheetName val="Thẻ TM"/>
      <sheetName val="BCTC (Nộp Cty)"/>
      <sheetName val="BCTC (Dán TB)"/>
      <sheetName val="BCTC"/>
      <sheetName val="Bảng Kê tiền mặt"/>
      <sheetName val="Phiếu thu"/>
      <sheetName val="Phiếu chi"/>
      <sheetName val="DS NHẬN PHỤ CẤP"/>
      <sheetName val="Xác nhận doanh thu"/>
      <sheetName val="XÁC NHẬN CÔNG NỢ"/>
    </sheetNames>
    <definedNames>
      <definedName name="vnd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G"/>
      <sheetName val="phieuung"/>
      <sheetName val="phieulg"/>
      <sheetName val="Sheet1"/>
      <sheetName val="Sheet2"/>
      <sheetName val="Sheet3"/>
      <sheetName val="SOLGTVP"/>
    </sheetNames>
    <sheetDataSet>
      <sheetData sheetId="0" refreshError="1">
        <row r="11">
          <cell r="A11">
            <v>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97"/>
  <sheetViews>
    <sheetView topLeftCell="A5" workbookViewId="0">
      <pane ySplit="2100" activePane="bottomLeft"/>
      <selection activeCell="I10" sqref="I10"/>
      <selection pane="bottomLeft" activeCell="I10" sqref="I10"/>
    </sheetView>
  </sheetViews>
  <sheetFormatPr defaultColWidth="9" defaultRowHeight="15.6"/>
  <cols>
    <col min="1" max="1" width="4.09765625" style="1" customWidth="1"/>
    <col min="2" max="2" width="10.5" style="1" customWidth="1"/>
    <col min="3" max="3" width="19.3984375" style="1" customWidth="1"/>
    <col min="4" max="4" width="8.19921875" style="1" customWidth="1"/>
    <col min="5" max="5" width="13" style="1" customWidth="1"/>
    <col min="6" max="6" width="9.765625E-2" style="5" customWidth="1"/>
    <col min="7" max="8" width="11.8984375" style="1" customWidth="1"/>
    <col min="9" max="9" width="24.69921875" style="1" customWidth="1"/>
    <col min="10" max="10" width="12.5" style="91" customWidth="1"/>
    <col min="11" max="11" width="14.09765625" style="1" customWidth="1"/>
    <col min="12" max="12" width="12.59765625" style="1" bestFit="1" customWidth="1"/>
    <col min="13" max="13" width="11.8984375" style="1" customWidth="1"/>
    <col min="14" max="16384" width="9" style="1"/>
  </cols>
  <sheetData>
    <row r="1" spans="1:12" ht="19.95" customHeight="1">
      <c r="A1" s="462" t="s">
        <v>152</v>
      </c>
      <c r="B1" s="462"/>
      <c r="C1" s="462"/>
      <c r="D1" s="462"/>
      <c r="E1" s="462" t="s">
        <v>5</v>
      </c>
      <c r="F1" s="462"/>
      <c r="G1" s="462"/>
      <c r="H1" s="462"/>
      <c r="I1" s="462"/>
    </row>
    <row r="2" spans="1:12" ht="18" customHeight="1">
      <c r="A2" s="463" t="s">
        <v>115</v>
      </c>
      <c r="B2" s="463"/>
      <c r="C2" s="463"/>
      <c r="D2" s="463"/>
      <c r="E2" s="462" t="s">
        <v>6</v>
      </c>
      <c r="F2" s="462"/>
      <c r="G2" s="462"/>
      <c r="H2" s="462"/>
      <c r="I2" s="462"/>
    </row>
    <row r="3" spans="1:12" ht="16.5" customHeight="1">
      <c r="A3" s="462" t="s">
        <v>1</v>
      </c>
      <c r="B3" s="462"/>
      <c r="C3" s="462"/>
      <c r="D3" s="462"/>
      <c r="E3" s="464" t="s">
        <v>2</v>
      </c>
      <c r="F3" s="464"/>
      <c r="G3" s="464"/>
      <c r="H3" s="464"/>
      <c r="I3" s="464"/>
    </row>
    <row r="4" spans="1:12" ht="31.65" customHeight="1">
      <c r="A4" s="461" t="s">
        <v>158</v>
      </c>
      <c r="B4" s="461"/>
      <c r="C4" s="461"/>
      <c r="D4" s="461"/>
      <c r="E4" s="461"/>
      <c r="F4" s="461"/>
      <c r="G4" s="461"/>
      <c r="H4" s="461"/>
      <c r="I4" s="461"/>
    </row>
    <row r="5" spans="1:12" ht="27.75" customHeight="1" thickBot="1">
      <c r="A5" s="459" t="s">
        <v>133</v>
      </c>
      <c r="B5" s="459"/>
      <c r="C5" s="459"/>
      <c r="D5" s="459"/>
      <c r="E5" s="459"/>
      <c r="F5" s="459"/>
      <c r="G5" s="459"/>
      <c r="H5" s="459"/>
      <c r="I5" s="459"/>
    </row>
    <row r="6" spans="1:12" ht="30.15" customHeight="1" thickTop="1" thickBot="1">
      <c r="A6" s="223" t="s">
        <v>0</v>
      </c>
      <c r="B6" s="225" t="s">
        <v>7</v>
      </c>
      <c r="C6" s="466" t="s">
        <v>8</v>
      </c>
      <c r="D6" s="467"/>
      <c r="E6" s="2" t="s">
        <v>9</v>
      </c>
      <c r="F6" s="2" t="s">
        <v>10</v>
      </c>
      <c r="G6" s="2" t="s">
        <v>162</v>
      </c>
      <c r="H6" s="224" t="s">
        <v>163</v>
      </c>
      <c r="I6" s="226" t="s">
        <v>12</v>
      </c>
      <c r="K6" s="228" t="s">
        <v>143</v>
      </c>
    </row>
    <row r="7" spans="1:12" s="8" customFormat="1" ht="12.75" customHeight="1" thickTop="1" thickBot="1">
      <c r="A7" s="14">
        <v>1</v>
      </c>
      <c r="B7" s="15">
        <v>2</v>
      </c>
      <c r="C7" s="468">
        <v>3</v>
      </c>
      <c r="D7" s="469"/>
      <c r="E7" s="16">
        <v>4</v>
      </c>
      <c r="F7" s="7">
        <v>5</v>
      </c>
      <c r="G7" s="17">
        <v>6</v>
      </c>
      <c r="H7" s="227"/>
      <c r="I7" s="18">
        <v>7</v>
      </c>
      <c r="J7" s="92"/>
    </row>
    <row r="8" spans="1:12" s="8" customFormat="1" ht="24.75" customHeight="1" thickTop="1">
      <c r="A8" s="252"/>
      <c r="B8" s="253"/>
      <c r="C8" s="258" t="s">
        <v>165</v>
      </c>
      <c r="D8" s="255"/>
      <c r="E8" s="255"/>
      <c r="F8" s="256"/>
      <c r="G8" s="253"/>
      <c r="H8" s="254"/>
      <c r="I8" s="257"/>
      <c r="J8" s="92"/>
    </row>
    <row r="9" spans="1:12" ht="21.75" customHeight="1">
      <c r="A9" s="245">
        <v>1</v>
      </c>
      <c r="B9" s="246" t="s">
        <v>159</v>
      </c>
      <c r="C9" s="247" t="s">
        <v>160</v>
      </c>
      <c r="D9" s="118" t="s">
        <v>31</v>
      </c>
      <c r="E9" s="248" t="s">
        <v>161</v>
      </c>
      <c r="F9" s="249">
        <v>1.99</v>
      </c>
      <c r="G9" s="241">
        <v>4150000</v>
      </c>
      <c r="H9" s="250"/>
      <c r="I9" s="251"/>
      <c r="J9" s="220"/>
      <c r="K9" s="221">
        <v>4150000</v>
      </c>
    </row>
    <row r="10" spans="1:12" s="12" customFormat="1" ht="18" customHeight="1">
      <c r="A10" s="106">
        <f t="shared" ref="A10:A24" si="0">A9+1</f>
        <v>2</v>
      </c>
      <c r="B10" s="107" t="s">
        <v>38</v>
      </c>
      <c r="C10" s="108" t="s">
        <v>34</v>
      </c>
      <c r="D10" s="118" t="s">
        <v>35</v>
      </c>
      <c r="E10" s="109" t="s">
        <v>40</v>
      </c>
      <c r="F10" s="110">
        <v>3.33</v>
      </c>
      <c r="G10" s="123">
        <f>4400000+185000</f>
        <v>4585000</v>
      </c>
      <c r="H10" s="229"/>
      <c r="I10" s="111"/>
      <c r="J10" s="204"/>
      <c r="K10" s="123">
        <f>4400000+185000</f>
        <v>4585000</v>
      </c>
      <c r="L10" s="203"/>
    </row>
    <row r="11" spans="1:12" s="5" customFormat="1" ht="18" customHeight="1">
      <c r="A11" s="33">
        <f t="shared" si="0"/>
        <v>3</v>
      </c>
      <c r="B11" s="171" t="s">
        <v>30</v>
      </c>
      <c r="C11" s="25" t="s">
        <v>29</v>
      </c>
      <c r="D11" s="138" t="s">
        <v>28</v>
      </c>
      <c r="E11" s="27" t="s">
        <v>20</v>
      </c>
      <c r="F11" s="130">
        <v>2.4</v>
      </c>
      <c r="G11" s="242">
        <v>3820000</v>
      </c>
      <c r="H11" s="230"/>
      <c r="I11" s="4"/>
      <c r="J11" s="205">
        <v>2805000</v>
      </c>
      <c r="K11" s="128">
        <v>3820000</v>
      </c>
      <c r="L11" s="89"/>
    </row>
    <row r="12" spans="1:12" s="5" customFormat="1" ht="18" customHeight="1">
      <c r="A12" s="33">
        <f t="shared" si="0"/>
        <v>4</v>
      </c>
      <c r="B12" s="171" t="s">
        <v>27</v>
      </c>
      <c r="C12" s="20" t="s">
        <v>26</v>
      </c>
      <c r="D12" s="55" t="s">
        <v>25</v>
      </c>
      <c r="E12" s="27" t="s">
        <v>145</v>
      </c>
      <c r="F12" s="131">
        <v>2.4</v>
      </c>
      <c r="G12" s="119">
        <v>3820000</v>
      </c>
      <c r="H12" s="230">
        <v>400000</v>
      </c>
      <c r="I12" s="4"/>
      <c r="J12" s="205">
        <v>2970000</v>
      </c>
      <c r="K12" s="121">
        <v>3820000</v>
      </c>
      <c r="L12" s="89">
        <v>400000</v>
      </c>
    </row>
    <row r="13" spans="1:12" s="5" customFormat="1" ht="18" customHeight="1">
      <c r="A13" s="33">
        <f t="shared" si="0"/>
        <v>5</v>
      </c>
      <c r="B13" s="115">
        <v>7908489972</v>
      </c>
      <c r="C13" s="20" t="s">
        <v>36</v>
      </c>
      <c r="D13" s="55" t="s">
        <v>31</v>
      </c>
      <c r="E13" s="27" t="s">
        <v>153</v>
      </c>
      <c r="F13" s="30">
        <v>1.65</v>
      </c>
      <c r="G13" s="119">
        <f>3630000</f>
        <v>3630000</v>
      </c>
      <c r="H13" s="230">
        <v>700000</v>
      </c>
      <c r="I13" s="4"/>
      <c r="J13" s="205">
        <v>2420000</v>
      </c>
      <c r="K13" s="120">
        <f>3630000</f>
        <v>3630000</v>
      </c>
      <c r="L13" s="89">
        <v>700000</v>
      </c>
    </row>
    <row r="14" spans="1:12" s="5" customFormat="1" ht="18" customHeight="1">
      <c r="A14" s="33">
        <f t="shared" si="0"/>
        <v>6</v>
      </c>
      <c r="B14" s="171" t="s">
        <v>107</v>
      </c>
      <c r="C14" s="25" t="s">
        <v>108</v>
      </c>
      <c r="D14" s="138" t="s">
        <v>109</v>
      </c>
      <c r="E14" s="27" t="s">
        <v>120</v>
      </c>
      <c r="F14" s="30">
        <v>1.99</v>
      </c>
      <c r="G14" s="124">
        <f>3300000+110000</f>
        <v>3410000</v>
      </c>
      <c r="H14" s="230"/>
      <c r="I14" s="86"/>
      <c r="J14" s="206">
        <v>2750000</v>
      </c>
      <c r="K14" s="124">
        <f>3300000+110000</f>
        <v>3410000</v>
      </c>
      <c r="L14" s="89"/>
    </row>
    <row r="15" spans="1:12" s="134" customFormat="1" ht="18" customHeight="1">
      <c r="A15" s="33">
        <f t="shared" si="0"/>
        <v>7</v>
      </c>
      <c r="B15" s="115">
        <v>7913014435</v>
      </c>
      <c r="C15" s="135" t="s">
        <v>146</v>
      </c>
      <c r="D15" s="138" t="s">
        <v>147</v>
      </c>
      <c r="E15" s="39" t="s">
        <v>20</v>
      </c>
      <c r="F15" s="136"/>
      <c r="G15" s="120">
        <v>3630000</v>
      </c>
      <c r="H15" s="231"/>
      <c r="I15" s="132"/>
      <c r="J15" s="207"/>
      <c r="K15" s="120">
        <v>3630000</v>
      </c>
      <c r="L15" s="94"/>
    </row>
    <row r="16" spans="1:12" s="43" customFormat="1" ht="18" customHeight="1">
      <c r="A16" s="33">
        <f t="shared" si="0"/>
        <v>8</v>
      </c>
      <c r="B16" s="29" t="s">
        <v>141</v>
      </c>
      <c r="C16" s="22" t="s">
        <v>112</v>
      </c>
      <c r="D16" s="55" t="s">
        <v>31</v>
      </c>
      <c r="E16" s="39" t="s">
        <v>20</v>
      </c>
      <c r="F16" s="131">
        <v>1.99</v>
      </c>
      <c r="G16" s="120">
        <v>3630000</v>
      </c>
      <c r="H16" s="230"/>
      <c r="I16" s="42"/>
      <c r="J16" s="206">
        <v>2420000</v>
      </c>
      <c r="K16" s="120">
        <v>3630000</v>
      </c>
      <c r="L16" s="90"/>
    </row>
    <row r="17" spans="1:13" s="43" customFormat="1" ht="18" customHeight="1">
      <c r="A17" s="33">
        <f t="shared" si="0"/>
        <v>9</v>
      </c>
      <c r="B17" s="115">
        <v>7911119736</v>
      </c>
      <c r="C17" s="20" t="s">
        <v>93</v>
      </c>
      <c r="D17" s="55" t="s">
        <v>94</v>
      </c>
      <c r="E17" s="27" t="s">
        <v>139</v>
      </c>
      <c r="F17" s="30">
        <v>1.65</v>
      </c>
      <c r="G17" s="120">
        <f>3630000</f>
        <v>3630000</v>
      </c>
      <c r="H17" s="230">
        <v>400000</v>
      </c>
      <c r="I17" s="4"/>
      <c r="J17" s="205">
        <v>2420000</v>
      </c>
      <c r="K17" s="120">
        <f>3630000</f>
        <v>3630000</v>
      </c>
      <c r="L17" s="90">
        <v>400000</v>
      </c>
    </row>
    <row r="18" spans="1:13" s="43" customFormat="1" ht="18" customHeight="1">
      <c r="A18" s="33">
        <f t="shared" si="0"/>
        <v>10</v>
      </c>
      <c r="B18" s="115">
        <v>7913014429</v>
      </c>
      <c r="C18" s="20" t="s">
        <v>148</v>
      </c>
      <c r="D18" s="55" t="s">
        <v>149</v>
      </c>
      <c r="E18" s="39" t="s">
        <v>20</v>
      </c>
      <c r="F18" s="30"/>
      <c r="G18" s="120">
        <v>3630000</v>
      </c>
      <c r="H18" s="230"/>
      <c r="I18" s="4"/>
      <c r="J18" s="205"/>
      <c r="K18" s="120">
        <v>3630000</v>
      </c>
      <c r="L18" s="90"/>
    </row>
    <row r="19" spans="1:13" s="5" customFormat="1" ht="18" customHeight="1">
      <c r="A19" s="33">
        <f t="shared" si="0"/>
        <v>11</v>
      </c>
      <c r="B19" s="115">
        <v>7909016159</v>
      </c>
      <c r="C19" s="20" t="s">
        <v>47</v>
      </c>
      <c r="D19" s="55" t="s">
        <v>48</v>
      </c>
      <c r="E19" s="39" t="s">
        <v>49</v>
      </c>
      <c r="F19" s="30">
        <v>1.18</v>
      </c>
      <c r="G19" s="125">
        <v>2530000</v>
      </c>
      <c r="H19" s="230"/>
      <c r="I19" s="4"/>
      <c r="J19" s="205">
        <v>2200000</v>
      </c>
      <c r="K19" s="125">
        <v>2530000</v>
      </c>
      <c r="L19" s="89"/>
      <c r="M19" s="211" t="e">
        <f>K11+K12+K13+K15+K16+K17+K18+K27+K28+K29+K30+#REF!+K32</f>
        <v>#REF!</v>
      </c>
    </row>
    <row r="20" spans="1:13" s="5" customFormat="1" ht="18" customHeight="1">
      <c r="A20" s="33">
        <f t="shared" si="0"/>
        <v>12</v>
      </c>
      <c r="B20" s="115">
        <v>7909016162</v>
      </c>
      <c r="C20" s="20" t="s">
        <v>54</v>
      </c>
      <c r="D20" s="55" t="s">
        <v>53</v>
      </c>
      <c r="E20" s="39" t="s">
        <v>49</v>
      </c>
      <c r="F20" s="30">
        <v>1.18</v>
      </c>
      <c r="G20" s="124">
        <v>2530000</v>
      </c>
      <c r="H20" s="230"/>
      <c r="I20" s="4"/>
      <c r="J20" s="205">
        <v>2200000</v>
      </c>
      <c r="K20" s="124">
        <v>2530000</v>
      </c>
      <c r="L20" s="89"/>
    </row>
    <row r="21" spans="1:13" s="5" customFormat="1" ht="18" customHeight="1">
      <c r="A21" s="33">
        <f t="shared" si="0"/>
        <v>13</v>
      </c>
      <c r="B21" s="115">
        <v>7909016163</v>
      </c>
      <c r="C21" s="20" t="s">
        <v>55</v>
      </c>
      <c r="D21" s="55" t="s">
        <v>56</v>
      </c>
      <c r="E21" s="39" t="s">
        <v>49</v>
      </c>
      <c r="F21" s="30">
        <v>1.18</v>
      </c>
      <c r="G21" s="124">
        <v>2530000</v>
      </c>
      <c r="H21" s="230">
        <f>200000+200000</f>
        <v>400000</v>
      </c>
      <c r="I21" s="4"/>
      <c r="J21" s="205">
        <v>2200000</v>
      </c>
      <c r="K21" s="124">
        <v>2530000</v>
      </c>
      <c r="L21" s="89">
        <f>200000+200000</f>
        <v>400000</v>
      </c>
    </row>
    <row r="22" spans="1:13" s="5" customFormat="1" ht="18" customHeight="1">
      <c r="A22" s="33">
        <f t="shared" si="0"/>
        <v>14</v>
      </c>
      <c r="B22" s="115">
        <v>7909016164</v>
      </c>
      <c r="C22" s="20" t="s">
        <v>57</v>
      </c>
      <c r="D22" s="55" t="s">
        <v>58</v>
      </c>
      <c r="E22" s="39" t="s">
        <v>144</v>
      </c>
      <c r="F22" s="30">
        <v>1.18</v>
      </c>
      <c r="G22" s="124">
        <f>2530000</f>
        <v>2530000</v>
      </c>
      <c r="H22" s="230">
        <v>200000</v>
      </c>
      <c r="I22" s="4"/>
      <c r="J22" s="205">
        <v>2400000</v>
      </c>
      <c r="K22" s="124">
        <f>2530000</f>
        <v>2530000</v>
      </c>
      <c r="L22" s="89">
        <v>200000</v>
      </c>
      <c r="M22" s="211">
        <f>K19+K20+K21+K22+K23+K24</f>
        <v>15180000</v>
      </c>
    </row>
    <row r="23" spans="1:13" s="5" customFormat="1" ht="18" customHeight="1">
      <c r="A23" s="33">
        <f t="shared" si="0"/>
        <v>15</v>
      </c>
      <c r="B23" s="115">
        <v>207249237</v>
      </c>
      <c r="C23" s="20" t="s">
        <v>113</v>
      </c>
      <c r="D23" s="55" t="s">
        <v>114</v>
      </c>
      <c r="E23" s="39" t="s">
        <v>49</v>
      </c>
      <c r="F23" s="30">
        <v>1.18</v>
      </c>
      <c r="G23" s="124">
        <v>2530000</v>
      </c>
      <c r="H23" s="230"/>
      <c r="I23" s="4"/>
      <c r="J23" s="205">
        <v>2200000</v>
      </c>
      <c r="K23" s="124">
        <v>2530000</v>
      </c>
      <c r="L23" s="89"/>
    </row>
    <row r="24" spans="1:13" s="5" customFormat="1" ht="18" customHeight="1">
      <c r="A24" s="33">
        <f t="shared" si="0"/>
        <v>16</v>
      </c>
      <c r="B24" s="115">
        <v>7912238992</v>
      </c>
      <c r="C24" s="20" t="s">
        <v>135</v>
      </c>
      <c r="D24" s="55" t="s">
        <v>31</v>
      </c>
      <c r="E24" s="172" t="s">
        <v>49</v>
      </c>
      <c r="F24" s="30">
        <v>1</v>
      </c>
      <c r="G24" s="124">
        <v>2530000</v>
      </c>
      <c r="H24" s="230"/>
      <c r="I24" s="4"/>
      <c r="J24" s="208"/>
      <c r="K24" s="124">
        <v>2530000</v>
      </c>
      <c r="L24" s="89"/>
    </row>
    <row r="25" spans="1:13" s="102" customFormat="1" ht="18" customHeight="1">
      <c r="A25" s="173">
        <f>A24</f>
        <v>16</v>
      </c>
      <c r="B25" s="174"/>
      <c r="C25" s="40" t="s">
        <v>123</v>
      </c>
      <c r="D25" s="137"/>
      <c r="E25" s="175"/>
      <c r="F25" s="41">
        <f>SUM(F10:F24)</f>
        <v>22.310000000000002</v>
      </c>
      <c r="G25" s="201">
        <f>SUM(G10:G24)</f>
        <v>48965000</v>
      </c>
      <c r="H25" s="232">
        <f>SUM(H9:H24)</f>
        <v>2100000</v>
      </c>
      <c r="I25" s="176"/>
      <c r="J25" s="209"/>
      <c r="K25" s="201">
        <f>SUM(K10:K24)</f>
        <v>48965000</v>
      </c>
      <c r="L25" s="201">
        <f>SUM(L10:L24)</f>
        <v>2100000</v>
      </c>
    </row>
    <row r="26" spans="1:13" s="5" customFormat="1" ht="18" customHeight="1">
      <c r="A26" s="33"/>
      <c r="B26" s="177"/>
      <c r="C26" s="472" t="s">
        <v>134</v>
      </c>
      <c r="D26" s="473"/>
      <c r="E26" s="474"/>
      <c r="F26" s="30"/>
      <c r="G26" s="124"/>
      <c r="H26" s="233"/>
      <c r="I26" s="4"/>
      <c r="J26" s="208"/>
      <c r="K26" s="124"/>
      <c r="L26" s="89"/>
    </row>
    <row r="27" spans="1:13" s="5" customFormat="1" ht="18" customHeight="1">
      <c r="A27" s="33">
        <v>1</v>
      </c>
      <c r="B27" s="178">
        <v>7911277559</v>
      </c>
      <c r="C27" s="20" t="s">
        <v>128</v>
      </c>
      <c r="D27" s="55" t="s">
        <v>25</v>
      </c>
      <c r="E27" s="179" t="s">
        <v>136</v>
      </c>
      <c r="F27" s="30">
        <v>1.65</v>
      </c>
      <c r="G27" s="124">
        <f>3630000</f>
        <v>3630000</v>
      </c>
      <c r="H27" s="234">
        <f>200000+200000</f>
        <v>400000</v>
      </c>
      <c r="I27" s="4"/>
      <c r="J27" s="208"/>
      <c r="K27" s="124">
        <f>3630000</f>
        <v>3630000</v>
      </c>
      <c r="L27" s="89">
        <f>200000+200000</f>
        <v>400000</v>
      </c>
    </row>
    <row r="28" spans="1:13" s="5" customFormat="1" ht="18" customHeight="1">
      <c r="A28" s="33">
        <f>A27+1</f>
        <v>2</v>
      </c>
      <c r="B28" s="178">
        <v>7911017649</v>
      </c>
      <c r="C28" s="20" t="s">
        <v>124</v>
      </c>
      <c r="D28" s="55" t="s">
        <v>125</v>
      </c>
      <c r="E28" s="179" t="s">
        <v>20</v>
      </c>
      <c r="F28" s="30">
        <v>1.65</v>
      </c>
      <c r="G28" s="124">
        <f>3630000</f>
        <v>3630000</v>
      </c>
      <c r="H28" s="234">
        <v>200000</v>
      </c>
      <c r="I28" s="4"/>
      <c r="J28" s="208"/>
      <c r="K28" s="124">
        <f>3630000</f>
        <v>3630000</v>
      </c>
      <c r="L28" s="89">
        <v>200000</v>
      </c>
    </row>
    <row r="29" spans="1:13" s="5" customFormat="1" ht="18" customHeight="1">
      <c r="A29" s="33">
        <f>A28+1</f>
        <v>3</v>
      </c>
      <c r="B29" s="180">
        <v>7910416897</v>
      </c>
      <c r="C29" s="181" t="s">
        <v>46</v>
      </c>
      <c r="D29" s="182" t="s">
        <v>127</v>
      </c>
      <c r="E29" s="27" t="s">
        <v>20</v>
      </c>
      <c r="F29" s="183">
        <v>1.65</v>
      </c>
      <c r="G29" s="124">
        <f>3630000</f>
        <v>3630000</v>
      </c>
      <c r="H29" s="235">
        <v>200000</v>
      </c>
      <c r="I29" s="184"/>
      <c r="J29" s="208"/>
      <c r="K29" s="124">
        <f>3630000</f>
        <v>3630000</v>
      </c>
      <c r="L29" s="89">
        <v>200000</v>
      </c>
    </row>
    <row r="30" spans="1:13" s="43" customFormat="1" ht="18" customHeight="1">
      <c r="A30" s="33">
        <f>A29+1</f>
        <v>4</v>
      </c>
      <c r="B30" s="185" t="s">
        <v>132</v>
      </c>
      <c r="C30" s="186" t="s">
        <v>131</v>
      </c>
      <c r="D30" s="187" t="s">
        <v>130</v>
      </c>
      <c r="E30" s="188" t="s">
        <v>20</v>
      </c>
      <c r="F30" s="189">
        <v>1.65</v>
      </c>
      <c r="G30" s="124">
        <f>3630000</f>
        <v>3630000</v>
      </c>
      <c r="H30" s="236">
        <v>200000</v>
      </c>
      <c r="I30" s="190"/>
      <c r="J30" s="210"/>
      <c r="K30" s="124">
        <f>3630000</f>
        <v>3630000</v>
      </c>
      <c r="L30" s="89">
        <v>200000</v>
      </c>
    </row>
    <row r="31" spans="1:13" s="43" customFormat="1" ht="18" customHeight="1">
      <c r="A31" s="33">
        <f>A30+1</f>
        <v>5</v>
      </c>
      <c r="B31" s="191" t="s">
        <v>150</v>
      </c>
      <c r="C31" s="99" t="s">
        <v>155</v>
      </c>
      <c r="D31" s="219" t="s">
        <v>156</v>
      </c>
      <c r="E31" s="27" t="s">
        <v>20</v>
      </c>
      <c r="F31" s="189"/>
      <c r="G31" s="124">
        <v>3630000</v>
      </c>
      <c r="H31" s="236">
        <v>200000</v>
      </c>
      <c r="I31" s="190"/>
      <c r="J31" s="210"/>
      <c r="K31" s="124">
        <v>3630000</v>
      </c>
      <c r="L31" s="89"/>
    </row>
    <row r="32" spans="1:13" s="5" customFormat="1" ht="18" customHeight="1">
      <c r="A32" s="33">
        <f>A31+1</f>
        <v>6</v>
      </c>
      <c r="B32" s="191" t="s">
        <v>142</v>
      </c>
      <c r="C32" s="192" t="s">
        <v>138</v>
      </c>
      <c r="D32" s="193" t="s">
        <v>65</v>
      </c>
      <c r="E32" s="27" t="s">
        <v>140</v>
      </c>
      <c r="F32" s="183"/>
      <c r="G32" s="124">
        <v>3630000</v>
      </c>
      <c r="H32" s="235">
        <f>200000+200000</f>
        <v>400000</v>
      </c>
      <c r="I32" s="184"/>
      <c r="J32" s="208"/>
      <c r="K32" s="124">
        <v>3630000</v>
      </c>
      <c r="L32" s="89">
        <f>200000+200000</f>
        <v>400000</v>
      </c>
    </row>
    <row r="33" spans="1:12" s="102" customFormat="1" ht="18" customHeight="1" thickBot="1">
      <c r="A33" s="194">
        <f>A32</f>
        <v>6</v>
      </c>
      <c r="B33" s="195"/>
      <c r="C33" s="196" t="s">
        <v>123</v>
      </c>
      <c r="D33" s="197"/>
      <c r="E33" s="198"/>
      <c r="F33" s="199">
        <f>SUM(F27:F32)</f>
        <v>6.6</v>
      </c>
      <c r="G33" s="243">
        <f>SUM(G27:G32)</f>
        <v>21780000</v>
      </c>
      <c r="H33" s="237">
        <f>SUM(H27:H32)</f>
        <v>1600000</v>
      </c>
      <c r="I33" s="200"/>
      <c r="J33" s="209"/>
      <c r="K33" s="202">
        <f>SUM(K27:K32)</f>
        <v>21780000</v>
      </c>
      <c r="L33" s="202">
        <f>SUM(L27:L32)</f>
        <v>1400000</v>
      </c>
    </row>
    <row r="34" spans="1:12" ht="18" customHeight="1" thickTop="1" thickBot="1">
      <c r="A34" s="129">
        <f>A25+A33</f>
        <v>22</v>
      </c>
      <c r="B34" s="85"/>
      <c r="C34" s="470" t="s">
        <v>3</v>
      </c>
      <c r="D34" s="471"/>
      <c r="E34" s="6"/>
      <c r="F34" s="9">
        <f>F25+F33</f>
        <v>28.910000000000004</v>
      </c>
      <c r="G34" s="244">
        <f>G25+G33</f>
        <v>70745000</v>
      </c>
      <c r="H34" s="238">
        <f>H25+H33</f>
        <v>3700000</v>
      </c>
      <c r="I34" s="81"/>
      <c r="J34" s="208"/>
      <c r="K34" s="202">
        <f>K25+K33</f>
        <v>70745000</v>
      </c>
      <c r="L34" s="202">
        <f>L25+L33</f>
        <v>3500000</v>
      </c>
    </row>
    <row r="35" spans="1:12" ht="23.1" customHeight="1" thickTop="1">
      <c r="A35" s="212" t="s">
        <v>119</v>
      </c>
      <c r="B35" s="84"/>
      <c r="C35" s="213" t="e">
        <f ca="1">[1]!vnd(G34)</f>
        <v>#NAME?</v>
      </c>
      <c r="D35" s="214"/>
      <c r="E35" s="82"/>
      <c r="F35" s="75"/>
      <c r="G35" s="215"/>
      <c r="H35" s="215"/>
      <c r="I35" s="83"/>
      <c r="J35" s="94"/>
      <c r="K35" s="216"/>
    </row>
    <row r="36" spans="1:12" s="28" customFormat="1" ht="24" customHeight="1">
      <c r="C36" s="112"/>
      <c r="D36" s="113"/>
      <c r="F36" s="460" t="s">
        <v>164</v>
      </c>
      <c r="G36" s="460"/>
      <c r="H36" s="460"/>
      <c r="I36" s="460"/>
      <c r="J36" s="94"/>
    </row>
    <row r="37" spans="1:12" s="28" customFormat="1" ht="16.5" customHeight="1">
      <c r="A37" s="460" t="s">
        <v>13</v>
      </c>
      <c r="B37" s="460"/>
      <c r="D37" s="28" t="s">
        <v>122</v>
      </c>
      <c r="F37" s="460" t="s">
        <v>118</v>
      </c>
      <c r="G37" s="460"/>
      <c r="H37" s="460"/>
      <c r="I37" s="460"/>
      <c r="J37" s="94"/>
    </row>
    <row r="38" spans="1:12" s="28" customFormat="1">
      <c r="F38" s="114"/>
      <c r="J38" s="94"/>
    </row>
    <row r="39" spans="1:12" s="28" customFormat="1">
      <c r="F39" s="114"/>
      <c r="J39" s="94"/>
    </row>
    <row r="40" spans="1:12" s="28" customFormat="1">
      <c r="F40" s="114"/>
      <c r="J40" s="94"/>
    </row>
    <row r="41" spans="1:12" s="28" customFormat="1">
      <c r="F41" s="114"/>
      <c r="J41" s="94"/>
    </row>
    <row r="42" spans="1:12" s="28" customFormat="1" ht="14.25" customHeight="1">
      <c r="A42" s="465" t="s">
        <v>116</v>
      </c>
      <c r="B42" s="465"/>
      <c r="D42" s="103" t="s">
        <v>117</v>
      </c>
      <c r="F42" s="114"/>
      <c r="J42" s="94"/>
    </row>
    <row r="43" spans="1:12" s="103" customFormat="1">
      <c r="I43" s="8"/>
      <c r="J43" s="101"/>
    </row>
    <row r="44" spans="1:12">
      <c r="J44" s="94"/>
      <c r="K44" s="28"/>
    </row>
    <row r="45" spans="1:12">
      <c r="J45" s="94"/>
      <c r="K45" s="28"/>
    </row>
    <row r="46" spans="1:12">
      <c r="J46" s="94"/>
      <c r="K46" s="28"/>
    </row>
    <row r="47" spans="1:12">
      <c r="J47" s="94"/>
      <c r="K47" s="28"/>
    </row>
    <row r="48" spans="1:12">
      <c r="J48" s="94"/>
      <c r="K48" s="28"/>
    </row>
    <row r="49" spans="10:11">
      <c r="J49" s="94"/>
      <c r="K49" s="28"/>
    </row>
    <row r="50" spans="10:11">
      <c r="J50" s="94"/>
      <c r="K50" s="28"/>
    </row>
    <row r="51" spans="10:11">
      <c r="J51" s="94"/>
      <c r="K51" s="28"/>
    </row>
    <row r="52" spans="10:11">
      <c r="K52" s="28"/>
    </row>
    <row r="53" spans="10:11">
      <c r="K53" s="28"/>
    </row>
    <row r="54" spans="10:11">
      <c r="K54" s="28"/>
    </row>
    <row r="55" spans="10:11">
      <c r="K55" s="28"/>
    </row>
    <row r="56" spans="10:11">
      <c r="K56" s="28"/>
    </row>
    <row r="57" spans="10:11">
      <c r="K57" s="28"/>
    </row>
    <row r="58" spans="10:11">
      <c r="K58" s="28"/>
    </row>
    <row r="59" spans="10:11">
      <c r="K59" s="28"/>
    </row>
    <row r="60" spans="10:11">
      <c r="K60" s="28"/>
    </row>
    <row r="61" spans="10:11">
      <c r="K61" s="28"/>
    </row>
    <row r="62" spans="10:11">
      <c r="K62" s="28"/>
    </row>
    <row r="63" spans="10:11">
      <c r="K63" s="28"/>
    </row>
    <row r="64" spans="10:11">
      <c r="K64" s="28"/>
    </row>
    <row r="65" spans="11:11">
      <c r="K65" s="28"/>
    </row>
    <row r="93" spans="1:11">
      <c r="I93" s="4"/>
    </row>
    <row r="94" spans="1:11" s="5" customFormat="1" ht="23.1" customHeight="1">
      <c r="A94" s="33">
        <f>[2]UNG!A11+1</f>
        <v>4</v>
      </c>
      <c r="B94" s="37" t="s">
        <v>71</v>
      </c>
      <c r="C94" s="22" t="s">
        <v>72</v>
      </c>
      <c r="D94" s="38" t="s">
        <v>73</v>
      </c>
      <c r="E94" s="39" t="s">
        <v>82</v>
      </c>
      <c r="F94" s="48">
        <v>2.37</v>
      </c>
      <c r="G94" s="47">
        <v>2500000</v>
      </c>
      <c r="H94" s="239"/>
      <c r="I94" s="1"/>
      <c r="J94" s="91"/>
      <c r="K94" s="44">
        <v>1500000</v>
      </c>
    </row>
    <row r="95" spans="1:11" s="43" customFormat="1" ht="23.1" customHeight="1">
      <c r="A95" s="33">
        <f>A16+1</f>
        <v>9</v>
      </c>
      <c r="B95" s="34">
        <v>7911017708</v>
      </c>
      <c r="C95" s="20" t="s">
        <v>91</v>
      </c>
      <c r="D95" s="21" t="s">
        <v>92</v>
      </c>
      <c r="E95" s="27" t="s">
        <v>20</v>
      </c>
      <c r="F95" s="30">
        <v>1.65</v>
      </c>
      <c r="G95" s="47">
        <v>700000</v>
      </c>
      <c r="H95" s="240"/>
      <c r="I95" s="42"/>
      <c r="J95" s="95"/>
      <c r="K95" s="46"/>
    </row>
    <row r="96" spans="1:11" s="5" customFormat="1" ht="23.1" customHeight="1">
      <c r="A96" s="33">
        <f>A13+1</f>
        <v>6</v>
      </c>
      <c r="B96" s="34">
        <v>7909016048</v>
      </c>
      <c r="C96" s="20" t="s">
        <v>43</v>
      </c>
      <c r="D96" s="21" t="s">
        <v>44</v>
      </c>
      <c r="E96" s="27" t="s">
        <v>20</v>
      </c>
      <c r="F96" s="30">
        <v>1.65</v>
      </c>
      <c r="G96" s="47">
        <v>700000</v>
      </c>
      <c r="H96" s="240"/>
      <c r="I96" s="42"/>
      <c r="J96" s="95" t="s">
        <v>81</v>
      </c>
      <c r="K96" s="45">
        <v>500000</v>
      </c>
    </row>
    <row r="97" spans="2:9">
      <c r="B97" s="79">
        <v>7908364521</v>
      </c>
      <c r="C97" s="80" t="s">
        <v>110</v>
      </c>
      <c r="D97" s="26" t="s">
        <v>111</v>
      </c>
      <c r="E97" s="78" t="s">
        <v>20</v>
      </c>
      <c r="F97" s="50">
        <v>1.65</v>
      </c>
      <c r="G97" s="47">
        <v>700000</v>
      </c>
      <c r="H97" s="240"/>
      <c r="I97" s="42"/>
    </row>
  </sheetData>
  <mergeCells count="16">
    <mergeCell ref="A42:B42"/>
    <mergeCell ref="C6:D6"/>
    <mergeCell ref="C7:D7"/>
    <mergeCell ref="C34:D34"/>
    <mergeCell ref="C26:E26"/>
    <mergeCell ref="A5:I5"/>
    <mergeCell ref="A37:B37"/>
    <mergeCell ref="A4:I4"/>
    <mergeCell ref="A1:D1"/>
    <mergeCell ref="A2:D2"/>
    <mergeCell ref="A3:D3"/>
    <mergeCell ref="E1:I1"/>
    <mergeCell ref="E2:I2"/>
    <mergeCell ref="E3:I3"/>
    <mergeCell ref="F36:I36"/>
    <mergeCell ref="F37:I37"/>
  </mergeCells>
  <phoneticPr fontId="22" type="noConversion"/>
  <printOptions horizontalCentered="1"/>
  <pageMargins left="0.25" right="0.25" top="0.38" bottom="0" header="0.36" footer="0.1"/>
  <pageSetup paperSize="9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27"/>
  <sheetViews>
    <sheetView workbookViewId="0">
      <selection activeCell="D8" sqref="D8"/>
    </sheetView>
  </sheetViews>
  <sheetFormatPr defaultColWidth="9.59765625" defaultRowHeight="13.2"/>
  <cols>
    <col min="1" max="1" width="13.59765625" style="13" customWidth="1"/>
    <col min="2" max="2" width="20.5" style="13" customWidth="1"/>
    <col min="3" max="3" width="10.69921875" style="13" customWidth="1"/>
    <col min="4" max="4" width="5.8984375" style="13" customWidth="1"/>
    <col min="5" max="5" width="14.5" style="13" customWidth="1"/>
    <col min="6" max="6" width="20.09765625" style="13" customWidth="1"/>
    <col min="7" max="7" width="10.09765625" style="13" customWidth="1"/>
    <col min="8" max="16384" width="9.59765625" style="13"/>
  </cols>
  <sheetData>
    <row r="1" spans="1:12" s="87" customFormat="1" ht="20.25" customHeight="1" thickTop="1">
      <c r="A1" s="475" t="str">
        <f>+I10</f>
        <v>PHIẾU LƯƠNG KỲ 1 THÁNG 8/2015</v>
      </c>
      <c r="B1" s="476"/>
      <c r="C1" s="477"/>
      <c r="D1" s="370"/>
      <c r="E1" s="475" t="str">
        <f>+I10</f>
        <v>PHIẾU LƯƠNG KỲ 1 THÁNG 8/2015</v>
      </c>
      <c r="F1" s="476"/>
      <c r="G1" s="477"/>
    </row>
    <row r="2" spans="1:12" s="87" customFormat="1" ht="13.8">
      <c r="A2" s="162" t="s">
        <v>14</v>
      </c>
      <c r="B2" s="152" t="e">
        <f>VLOOKUP($B$3,#REF!,2,0)</f>
        <v>#REF!</v>
      </c>
      <c r="C2" s="267" t="e">
        <f>VLOOKUP($B$3,#REF!,3,0)</f>
        <v>#REF!</v>
      </c>
      <c r="D2" s="371"/>
      <c r="E2" s="162" t="s">
        <v>14</v>
      </c>
      <c r="F2" s="222" t="e">
        <f>VLOOKUP($F$3,#REF!,2,0)</f>
        <v>#REF!</v>
      </c>
      <c r="G2" s="268" t="e">
        <f>VLOOKUP($F$10,#REF!,3,0)</f>
        <v>#REF!</v>
      </c>
    </row>
    <row r="3" spans="1:12" s="87" customFormat="1" ht="15.6">
      <c r="A3" s="162" t="s">
        <v>15</v>
      </c>
      <c r="B3" s="163" t="s">
        <v>38</v>
      </c>
      <c r="C3" s="153"/>
      <c r="D3" s="372"/>
      <c r="E3" s="162" t="s">
        <v>15</v>
      </c>
      <c r="F3" s="361" t="s">
        <v>203</v>
      </c>
      <c r="G3" s="164"/>
    </row>
    <row r="4" spans="1:12" s="87" customFormat="1" ht="13.8">
      <c r="A4" s="162" t="s">
        <v>16</v>
      </c>
      <c r="B4" s="154" t="e">
        <f>VLOOKUP($B$3,#REF!,6,0)</f>
        <v>#REF!</v>
      </c>
      <c r="C4" s="153"/>
      <c r="D4" s="372"/>
      <c r="E4" s="162" t="s">
        <v>16</v>
      </c>
      <c r="F4" s="154" t="e">
        <f>VLOOKUP($F$3,#REF!,6,0)</f>
        <v>#REF!</v>
      </c>
      <c r="G4" s="164"/>
    </row>
    <row r="5" spans="1:12" s="87" customFormat="1" ht="15.75" customHeight="1">
      <c r="A5" s="162" t="s">
        <v>22</v>
      </c>
      <c r="B5" s="155">
        <v>189000</v>
      </c>
      <c r="C5" s="164"/>
      <c r="D5" s="369"/>
      <c r="E5" s="162" t="s">
        <v>207</v>
      </c>
      <c r="F5" s="155">
        <v>360000</v>
      </c>
      <c r="G5" s="164"/>
    </row>
    <row r="6" spans="1:12" s="87" customFormat="1" ht="14.4" thickBot="1">
      <c r="A6" s="165" t="s">
        <v>19</v>
      </c>
      <c r="B6" s="277" t="e">
        <f>B4-B5</f>
        <v>#REF!</v>
      </c>
      <c r="C6" s="166"/>
      <c r="D6" s="369"/>
      <c r="E6" s="165" t="s">
        <v>19</v>
      </c>
      <c r="F6" s="277" t="e">
        <f>F4-F5</f>
        <v>#REF!</v>
      </c>
      <c r="G6" s="166"/>
      <c r="I6" s="88"/>
      <c r="J6" s="88"/>
    </row>
    <row r="7" spans="1:12" s="377" customFormat="1" ht="15" thickTop="1" thickBot="1">
      <c r="A7" s="375"/>
      <c r="B7" s="376"/>
      <c r="C7" s="375"/>
      <c r="D7" s="369"/>
      <c r="E7" s="375"/>
      <c r="F7" s="376"/>
      <c r="G7" s="375"/>
      <c r="H7" s="87"/>
      <c r="I7" s="88"/>
      <c r="J7" s="88"/>
      <c r="K7" s="87"/>
      <c r="L7" s="87"/>
    </row>
    <row r="8" spans="1:12" s="87" customFormat="1" ht="20.25" customHeight="1" thickTop="1">
      <c r="A8" s="478" t="str">
        <f>+I10</f>
        <v>PHIẾU LƯƠNG KỲ 1 THÁNG 8/2015</v>
      </c>
      <c r="B8" s="479"/>
      <c r="C8" s="480"/>
      <c r="D8" s="370"/>
      <c r="E8" s="478" t="str">
        <f>+I10</f>
        <v>PHIẾU LƯƠNG KỲ 1 THÁNG 8/2015</v>
      </c>
      <c r="F8" s="479"/>
      <c r="G8" s="480"/>
      <c r="I8" s="88"/>
      <c r="J8" s="88"/>
    </row>
    <row r="9" spans="1:12" s="87" customFormat="1" ht="17.399999999999999" customHeight="1">
      <c r="A9" s="162" t="s">
        <v>14</v>
      </c>
      <c r="B9" s="152" t="e">
        <f>VLOOKUP($B$10,#REF!,2,0)</f>
        <v>#REF!</v>
      </c>
      <c r="C9" s="268" t="e">
        <f>VLOOKUP($B$10,#REF!,3,0)</f>
        <v>#REF!</v>
      </c>
      <c r="D9" s="373"/>
      <c r="E9" s="162" t="s">
        <v>14</v>
      </c>
      <c r="F9" s="152" t="e">
        <f>VLOOKUP($F$10,#REF!,2,0)</f>
        <v>#REF!</v>
      </c>
      <c r="G9" s="268" t="e">
        <f>VLOOKUP($F$10,#REF!,3,0)</f>
        <v>#REF!</v>
      </c>
    </row>
    <row r="10" spans="1:12" s="87" customFormat="1" ht="17.399999999999999" customHeight="1">
      <c r="A10" s="162" t="s">
        <v>15</v>
      </c>
      <c r="B10" s="346" t="s">
        <v>204</v>
      </c>
      <c r="C10" s="164"/>
      <c r="D10" s="369"/>
      <c r="E10" s="162" t="s">
        <v>15</v>
      </c>
      <c r="F10" s="158">
        <v>7908489972</v>
      </c>
      <c r="G10" s="164"/>
      <c r="I10" s="87" t="s">
        <v>206</v>
      </c>
    </row>
    <row r="11" spans="1:12" s="87" customFormat="1" ht="17.399999999999999" customHeight="1">
      <c r="A11" s="162" t="s">
        <v>16</v>
      </c>
      <c r="B11" s="154" t="e">
        <f>VLOOKUP($B$10,#REF!,6,0)</f>
        <v>#REF!</v>
      </c>
      <c r="C11" s="164"/>
      <c r="D11" s="369"/>
      <c r="E11" s="162" t="s">
        <v>16</v>
      </c>
      <c r="F11" s="154" t="e">
        <f>VLOOKUP($F$10,#REF!,6,0)</f>
        <v>#REF!</v>
      </c>
      <c r="G11" s="164"/>
    </row>
    <row r="12" spans="1:12" s="87" customFormat="1" ht="17.399999999999999" customHeight="1">
      <c r="A12" s="162" t="s">
        <v>21</v>
      </c>
      <c r="B12" s="155">
        <v>76000</v>
      </c>
      <c r="C12" s="164"/>
      <c r="D12" s="369"/>
      <c r="E12" s="162" t="s">
        <v>21</v>
      </c>
      <c r="F12" s="155">
        <v>75000</v>
      </c>
      <c r="G12" s="164"/>
    </row>
    <row r="13" spans="1:12" s="87" customFormat="1" ht="17.399999999999999" customHeight="1" thickBot="1">
      <c r="A13" s="167" t="s">
        <v>19</v>
      </c>
      <c r="B13" s="217" t="e">
        <f>B11-B12</f>
        <v>#REF!</v>
      </c>
      <c r="C13" s="168"/>
      <c r="D13" s="369"/>
      <c r="E13" s="167" t="s">
        <v>19</v>
      </c>
      <c r="F13" s="217" t="e">
        <f>F11-F12</f>
        <v>#REF!</v>
      </c>
      <c r="G13" s="168"/>
    </row>
    <row r="14" spans="1:12" s="87" customFormat="1" ht="17.399999999999999" customHeight="1" thickTop="1" thickBot="1">
      <c r="A14" s="369"/>
      <c r="B14" s="366"/>
      <c r="C14" s="369"/>
      <c r="D14" s="369"/>
      <c r="E14" s="369"/>
      <c r="F14" s="366"/>
      <c r="G14" s="369"/>
    </row>
    <row r="15" spans="1:12" s="87" customFormat="1" ht="14.4" thickTop="1">
      <c r="A15" s="475" t="str">
        <f>+I10</f>
        <v>PHIẾU LƯƠNG KỲ 1 THÁNG 8/2015</v>
      </c>
      <c r="B15" s="476"/>
      <c r="C15" s="477"/>
      <c r="D15" s="370"/>
      <c r="E15" s="475" t="str">
        <f>+I10</f>
        <v>PHIẾU LƯƠNG KỲ 1 THÁNG 8/2015</v>
      </c>
      <c r="F15" s="476"/>
      <c r="G15" s="477"/>
    </row>
    <row r="16" spans="1:12" s="87" customFormat="1" ht="13.8">
      <c r="A16" s="162" t="s">
        <v>14</v>
      </c>
      <c r="B16" s="152" t="e">
        <f>VLOOKUP($B$17,#REF!,2,0)</f>
        <v>#REF!</v>
      </c>
      <c r="C16" s="268" t="e">
        <f>VLOOKUP($B$17,#REF!,3,0)</f>
        <v>#REF!</v>
      </c>
      <c r="D16" s="373"/>
      <c r="E16" s="162" t="s">
        <v>14</v>
      </c>
      <c r="F16" s="152" t="e">
        <f>VLOOKUP($F$17,#REF!,2,0)</f>
        <v>#REF!</v>
      </c>
      <c r="G16" s="268" t="e">
        <f>VLOOKUP($F$17,#REF!,3,0)</f>
        <v>#REF!</v>
      </c>
    </row>
    <row r="17" spans="1:7" s="87" customFormat="1" ht="13.8">
      <c r="A17" s="162" t="s">
        <v>15</v>
      </c>
      <c r="B17" s="351" t="s">
        <v>186</v>
      </c>
      <c r="C17" s="164"/>
      <c r="D17" s="369"/>
      <c r="E17" s="162" t="s">
        <v>15</v>
      </c>
      <c r="F17" s="144">
        <v>7911119736</v>
      </c>
      <c r="G17" s="164"/>
    </row>
    <row r="18" spans="1:7" s="87" customFormat="1" ht="13.8">
      <c r="A18" s="162" t="s">
        <v>16</v>
      </c>
      <c r="B18" s="155" t="e">
        <f>VLOOKUP($B$17,#REF!,6,0)</f>
        <v>#REF!</v>
      </c>
      <c r="C18" s="164"/>
      <c r="D18" s="369"/>
      <c r="E18" s="162" t="s">
        <v>16</v>
      </c>
      <c r="F18" s="154" t="e">
        <f>VLOOKUP($F$17,#REF!,6,0)</f>
        <v>#REF!</v>
      </c>
      <c r="G18" s="164"/>
    </row>
    <row r="19" spans="1:7" s="87" customFormat="1" ht="13.8">
      <c r="A19" s="162" t="s">
        <v>22</v>
      </c>
      <c r="B19" s="155">
        <v>76000</v>
      </c>
      <c r="C19" s="164"/>
      <c r="D19" s="369"/>
      <c r="E19" s="162" t="s">
        <v>22</v>
      </c>
      <c r="F19" s="155">
        <v>75000</v>
      </c>
      <c r="G19" s="164"/>
    </row>
    <row r="20" spans="1:7" s="87" customFormat="1" ht="14.4" thickBot="1">
      <c r="A20" s="167" t="s">
        <v>19</v>
      </c>
      <c r="B20" s="217" t="e">
        <f>B18-B19</f>
        <v>#REF!</v>
      </c>
      <c r="C20" s="168"/>
      <c r="D20" s="369"/>
      <c r="E20" s="167" t="s">
        <v>19</v>
      </c>
      <c r="F20" s="217" t="e">
        <f>F18-F19</f>
        <v>#REF!</v>
      </c>
      <c r="G20" s="168"/>
    </row>
    <row r="21" spans="1:7" s="87" customFormat="1" ht="15" thickTop="1" thickBot="1">
      <c r="A21" s="369"/>
      <c r="B21" s="366"/>
      <c r="C21" s="369"/>
      <c r="D21" s="369"/>
      <c r="E21" s="369"/>
      <c r="F21" s="366"/>
      <c r="G21" s="369"/>
    </row>
    <row r="22" spans="1:7" s="87" customFormat="1" ht="14.4" thickTop="1">
      <c r="A22" s="475" t="str">
        <f>+I10</f>
        <v>PHIẾU LƯƠNG KỲ 1 THÁNG 8/2015</v>
      </c>
      <c r="B22" s="476"/>
      <c r="C22" s="477"/>
      <c r="D22" s="370"/>
      <c r="E22" s="475" t="str">
        <f>+I10</f>
        <v>PHIẾU LƯƠNG KỲ 1 THÁNG 8/2015</v>
      </c>
      <c r="F22" s="476"/>
      <c r="G22" s="477"/>
    </row>
    <row r="23" spans="1:7" s="87" customFormat="1" ht="13.8">
      <c r="A23" s="162" t="s">
        <v>14</v>
      </c>
      <c r="B23" s="152" t="e">
        <f>VLOOKUP($B$24,#REF!,2,0)</f>
        <v>#REF!</v>
      </c>
      <c r="C23" s="268" t="e">
        <f>VLOOKUP($B$24,#REF!,3,0)</f>
        <v>#REF!</v>
      </c>
      <c r="D23" s="373"/>
      <c r="E23" s="162" t="s">
        <v>14</v>
      </c>
      <c r="F23" s="152" t="e">
        <f>VLOOKUP($F$24,#REF!,2,0)</f>
        <v>#REF!</v>
      </c>
      <c r="G23" s="268" t="e">
        <f>VLOOKUP($F$24,#REF!,3,0)</f>
        <v>#REF!</v>
      </c>
    </row>
    <row r="24" spans="1:7" s="87" customFormat="1" ht="13.8">
      <c r="A24" s="162" t="s">
        <v>15</v>
      </c>
      <c r="B24" s="122" t="s">
        <v>168</v>
      </c>
      <c r="C24" s="164"/>
      <c r="D24" s="369"/>
      <c r="E24" s="162" t="s">
        <v>15</v>
      </c>
      <c r="F24" s="122" t="s">
        <v>192</v>
      </c>
      <c r="G24" s="164"/>
    </row>
    <row r="25" spans="1:7" s="87" customFormat="1" ht="13.8">
      <c r="A25" s="162" t="s">
        <v>16</v>
      </c>
      <c r="B25" s="154" t="e">
        <f>VLOOKUP($B$24,#REF!,6,0)</f>
        <v>#REF!</v>
      </c>
      <c r="C25" s="164"/>
      <c r="D25" s="369"/>
      <c r="E25" s="162" t="s">
        <v>16</v>
      </c>
      <c r="F25" s="154" t="e">
        <f>VLOOKUP($F$24,#REF!,6,0)</f>
        <v>#REF!</v>
      </c>
      <c r="G25" s="164"/>
    </row>
    <row r="26" spans="1:7" s="87" customFormat="1" ht="13.8">
      <c r="A26" s="162" t="s">
        <v>22</v>
      </c>
      <c r="B26" s="155">
        <v>76000</v>
      </c>
      <c r="C26" s="164"/>
      <c r="D26" s="369"/>
      <c r="E26" s="162" t="s">
        <v>22</v>
      </c>
      <c r="F26" s="155">
        <v>76000</v>
      </c>
      <c r="G26" s="164"/>
    </row>
    <row r="27" spans="1:7" s="87" customFormat="1" ht="14.4" thickBot="1">
      <c r="A27" s="167" t="s">
        <v>19</v>
      </c>
      <c r="B27" s="271" t="e">
        <f>B25-B26</f>
        <v>#REF!</v>
      </c>
      <c r="C27" s="168"/>
      <c r="D27" s="369"/>
      <c r="E27" s="167" t="s">
        <v>19</v>
      </c>
      <c r="F27" s="217" t="e">
        <f>F25-F26</f>
        <v>#REF!</v>
      </c>
      <c r="G27" s="168"/>
    </row>
    <row r="28" spans="1:7" s="87" customFormat="1" ht="15" thickTop="1" thickBot="1">
      <c r="A28" s="369"/>
      <c r="B28" s="368"/>
      <c r="C28" s="369"/>
      <c r="D28" s="369"/>
      <c r="E28" s="369"/>
      <c r="F28" s="366"/>
      <c r="G28" s="369"/>
    </row>
    <row r="29" spans="1:7" s="87" customFormat="1" ht="21.15" customHeight="1" thickTop="1">
      <c r="A29" s="475" t="str">
        <f>+I10</f>
        <v>PHIẾU LƯƠNG KỲ 1 THÁNG 8/2015</v>
      </c>
      <c r="B29" s="476"/>
      <c r="C29" s="477"/>
      <c r="D29" s="370"/>
      <c r="E29" s="475" t="str">
        <f>+I10</f>
        <v>PHIẾU LƯƠNG KỲ 1 THÁNG 8/2015</v>
      </c>
      <c r="F29" s="476"/>
      <c r="G29" s="477"/>
    </row>
    <row r="30" spans="1:7" s="87" customFormat="1" ht="13.8">
      <c r="A30" s="162" t="s">
        <v>14</v>
      </c>
      <c r="B30" s="152" t="e">
        <f>VLOOKUP(B31,#REF!,2,0)</f>
        <v>#REF!</v>
      </c>
      <c r="C30" s="152" t="e">
        <f>VLOOKUP(B31,#REF!,3,0)</f>
        <v>#REF!</v>
      </c>
      <c r="D30" s="374"/>
      <c r="E30" s="162" t="s">
        <v>14</v>
      </c>
      <c r="F30" s="152" t="e">
        <f>VLOOKUP($F$31,#REF!,2,0)</f>
        <v>#REF!</v>
      </c>
      <c r="G30" s="152" t="e">
        <f>VLOOKUP($F$31,#REF!,3,0)</f>
        <v>#REF!</v>
      </c>
    </row>
    <row r="31" spans="1:7" s="87" customFormat="1" ht="13.8">
      <c r="A31" s="162" t="s">
        <v>15</v>
      </c>
      <c r="B31" s="347" t="s">
        <v>132</v>
      </c>
      <c r="C31" s="164"/>
      <c r="D31" s="369"/>
      <c r="E31" s="162" t="s">
        <v>15</v>
      </c>
      <c r="F31" s="363" t="s">
        <v>205</v>
      </c>
      <c r="G31" s="164"/>
    </row>
    <row r="32" spans="1:7" s="87" customFormat="1" ht="13.8">
      <c r="A32" s="162" t="s">
        <v>16</v>
      </c>
      <c r="B32" s="154" t="e">
        <f>VLOOKUP($B$31,#REF!,6,0)</f>
        <v>#REF!</v>
      </c>
      <c r="C32" s="164"/>
      <c r="D32" s="369"/>
      <c r="E32" s="162" t="s">
        <v>16</v>
      </c>
      <c r="F32" s="154" t="e">
        <f>VLOOKUP($F$31,#REF!,6,0)</f>
        <v>#REF!</v>
      </c>
      <c r="G32" s="164"/>
    </row>
    <row r="33" spans="1:7" s="87" customFormat="1" ht="11.25" customHeight="1">
      <c r="A33" s="162" t="s">
        <v>22</v>
      </c>
      <c r="B33" s="155">
        <v>76000</v>
      </c>
      <c r="C33" s="164"/>
      <c r="D33" s="369"/>
      <c r="E33" s="162" t="s">
        <v>22</v>
      </c>
      <c r="F33" s="155">
        <v>76000</v>
      </c>
      <c r="G33" s="164"/>
    </row>
    <row r="34" spans="1:7" s="87" customFormat="1" ht="14.4" thickBot="1">
      <c r="A34" s="167" t="s">
        <v>19</v>
      </c>
      <c r="B34" s="217" t="e">
        <f>B32-B33</f>
        <v>#REF!</v>
      </c>
      <c r="C34" s="168"/>
      <c r="D34" s="369"/>
      <c r="E34" s="167" t="s">
        <v>19</v>
      </c>
      <c r="F34" s="217" t="e">
        <f>F32-F33</f>
        <v>#REF!</v>
      </c>
      <c r="G34" s="168"/>
    </row>
    <row r="35" spans="1:7" s="87" customFormat="1" ht="15" thickTop="1" thickBot="1">
      <c r="A35" s="369"/>
      <c r="B35" s="366"/>
      <c r="C35" s="369"/>
      <c r="D35" s="369"/>
      <c r="E35" s="369"/>
      <c r="F35" s="366"/>
      <c r="G35" s="369"/>
    </row>
    <row r="36" spans="1:7" s="87" customFormat="1" ht="25.5" customHeight="1" thickTop="1">
      <c r="A36" s="475" t="str">
        <f>+I10</f>
        <v>PHIẾU LƯƠNG KỲ 1 THÁNG 8/2015</v>
      </c>
      <c r="B36" s="476"/>
      <c r="C36" s="477"/>
      <c r="D36" s="370"/>
      <c r="E36" s="475" t="str">
        <f>+I10</f>
        <v>PHIẾU LƯƠNG KỲ 1 THÁNG 8/2015</v>
      </c>
      <c r="F36" s="476"/>
      <c r="G36" s="477"/>
    </row>
    <row r="37" spans="1:7" s="87" customFormat="1" ht="13.8">
      <c r="A37" s="162" t="s">
        <v>14</v>
      </c>
      <c r="B37" s="152" t="e">
        <f>VLOOKUP($B$38,#REF!,2,0)</f>
        <v>#REF!</v>
      </c>
      <c r="C37" s="268" t="e">
        <f>VLOOKUP($B$38,#REF!,3,0)</f>
        <v>#REF!</v>
      </c>
      <c r="D37" s="373"/>
      <c r="E37" s="162" t="s">
        <v>14</v>
      </c>
      <c r="F37" s="152" t="e">
        <f>VLOOKUP($F$38,#REF!,2,0)</f>
        <v>#REF!</v>
      </c>
      <c r="G37" s="268" t="e">
        <f>VLOOKUP($F$38,#REF!,3,0)</f>
        <v>#REF!</v>
      </c>
    </row>
    <row r="38" spans="1:7" s="87" customFormat="1" ht="13.8">
      <c r="A38" s="162" t="s">
        <v>15</v>
      </c>
      <c r="B38" s="364" t="s">
        <v>187</v>
      </c>
      <c r="C38" s="164"/>
      <c r="D38" s="369"/>
      <c r="E38" s="162" t="s">
        <v>15</v>
      </c>
      <c r="F38" s="362" t="s">
        <v>185</v>
      </c>
      <c r="G38" s="164"/>
    </row>
    <row r="39" spans="1:7" s="87" customFormat="1" ht="13.8">
      <c r="A39" s="162" t="s">
        <v>16</v>
      </c>
      <c r="B39" s="154" t="e">
        <f>VLOOKUP($B$38,#REF!,6,0)</f>
        <v>#REF!</v>
      </c>
      <c r="C39" s="164"/>
      <c r="D39" s="369"/>
      <c r="E39" s="162" t="s">
        <v>16</v>
      </c>
      <c r="F39" s="154" t="e">
        <f>VLOOKUP($F$38,#REF!,6,0)</f>
        <v>#REF!</v>
      </c>
      <c r="G39" s="164"/>
    </row>
    <row r="40" spans="1:7" s="87" customFormat="1" ht="12.15" customHeight="1">
      <c r="A40" s="162" t="s">
        <v>22</v>
      </c>
      <c r="B40" s="155">
        <v>76000</v>
      </c>
      <c r="C40" s="164"/>
      <c r="D40" s="369"/>
      <c r="E40" s="162" t="s">
        <v>22</v>
      </c>
      <c r="F40" s="155">
        <v>76000</v>
      </c>
      <c r="G40" s="164"/>
    </row>
    <row r="41" spans="1:7" s="87" customFormat="1" ht="14.4" thickBot="1">
      <c r="A41" s="167" t="s">
        <v>19</v>
      </c>
      <c r="B41" s="217" t="e">
        <f>B39-B40</f>
        <v>#REF!</v>
      </c>
      <c r="C41" s="168"/>
      <c r="D41" s="369"/>
      <c r="E41" s="167" t="s">
        <v>19</v>
      </c>
      <c r="F41" s="217" t="e">
        <f>F39-F40</f>
        <v>#REF!</v>
      </c>
      <c r="G41" s="168"/>
    </row>
    <row r="42" spans="1:7" s="87" customFormat="1" ht="15" thickTop="1" thickBot="1">
      <c r="A42" s="365"/>
      <c r="B42" s="366"/>
      <c r="C42" s="367"/>
      <c r="D42" s="369"/>
      <c r="E42" s="365"/>
      <c r="F42" s="366"/>
      <c r="G42" s="367"/>
    </row>
    <row r="43" spans="1:7" s="87" customFormat="1" ht="20.25" customHeight="1" thickTop="1">
      <c r="A43" s="475" t="str">
        <f>+I10</f>
        <v>PHIẾU LƯƠNG KỲ 1 THÁNG 8/2015</v>
      </c>
      <c r="B43" s="476"/>
      <c r="C43" s="477"/>
      <c r="D43" s="370"/>
      <c r="E43" s="475" t="str">
        <f>+I10</f>
        <v>PHIẾU LƯƠNG KỲ 1 THÁNG 8/2015</v>
      </c>
      <c r="F43" s="476"/>
      <c r="G43" s="477"/>
    </row>
    <row r="44" spans="1:7" s="87" customFormat="1" ht="13.8">
      <c r="A44" s="162" t="s">
        <v>14</v>
      </c>
      <c r="B44" s="152" t="e">
        <f>VLOOKUP($B$45,#REF!,2,0)</f>
        <v>#REF!</v>
      </c>
      <c r="C44" s="269" t="e">
        <f>VLOOKUP($B$45,#REF!,3,0)</f>
        <v>#REF!</v>
      </c>
      <c r="D44" s="116"/>
      <c r="E44" s="162" t="s">
        <v>14</v>
      </c>
      <c r="F44" s="152" t="e">
        <f>VLOOKUP($F$45,#REF!,2,0)</f>
        <v>#REF!</v>
      </c>
      <c r="G44" s="269" t="e">
        <f>VLOOKUP($F$45,#REF!,3,0)</f>
        <v>#REF!</v>
      </c>
    </row>
    <row r="45" spans="1:7" s="87" customFormat="1" ht="13.8">
      <c r="A45" s="162" t="s">
        <v>15</v>
      </c>
      <c r="B45" s="158">
        <v>7909016164</v>
      </c>
      <c r="C45" s="164"/>
      <c r="D45" s="369"/>
      <c r="E45" s="162" t="s">
        <v>15</v>
      </c>
      <c r="F45" s="158">
        <v>207249237</v>
      </c>
      <c r="G45" s="164"/>
    </row>
    <row r="46" spans="1:7" s="87" customFormat="1" ht="13.8">
      <c r="A46" s="162" t="s">
        <v>16</v>
      </c>
      <c r="B46" s="154" t="e">
        <f>VLOOKUP($B$45,#REF!,6,0)</f>
        <v>#REF!</v>
      </c>
      <c r="C46" s="164"/>
      <c r="D46" s="369"/>
      <c r="E46" s="162" t="s">
        <v>16</v>
      </c>
      <c r="F46" s="154" t="e">
        <f>VLOOKUP($F$45,#REF!,6,0)</f>
        <v>#REF!</v>
      </c>
      <c r="G46" s="164"/>
    </row>
    <row r="47" spans="1:7" s="87" customFormat="1" ht="13.8">
      <c r="A47" s="162" t="s">
        <v>22</v>
      </c>
      <c r="B47" s="155"/>
      <c r="C47" s="164"/>
      <c r="D47" s="369"/>
      <c r="E47" s="162" t="s">
        <v>22</v>
      </c>
      <c r="F47" s="155"/>
      <c r="G47" s="164"/>
    </row>
    <row r="48" spans="1:7" s="87" customFormat="1" ht="14.4" thickBot="1">
      <c r="A48" s="167" t="s">
        <v>19</v>
      </c>
      <c r="B48" s="217" t="e">
        <f>B46-B47</f>
        <v>#REF!</v>
      </c>
      <c r="C48" s="168"/>
      <c r="D48" s="369"/>
      <c r="E48" s="167" t="s">
        <v>19</v>
      </c>
      <c r="F48" s="217" t="e">
        <f>F46-F47</f>
        <v>#REF!</v>
      </c>
      <c r="G48" s="168"/>
    </row>
    <row r="49" spans="1:7" s="87" customFormat="1" ht="17.399999999999999" customHeight="1" thickTop="1">
      <c r="A49" s="475" t="str">
        <f>+I10</f>
        <v>PHIẾU LƯƠNG KỲ 1 THÁNG 8/2015</v>
      </c>
      <c r="B49" s="476"/>
      <c r="C49" s="477"/>
      <c r="D49" s="370"/>
      <c r="E49" s="475" t="str">
        <f>+I10</f>
        <v>PHIẾU LƯƠNG KỲ 1 THÁNG 8/2015</v>
      </c>
      <c r="F49" s="476"/>
      <c r="G49" s="477"/>
    </row>
    <row r="50" spans="1:7" s="87" customFormat="1" ht="21.75" customHeight="1">
      <c r="A50" s="162" t="s">
        <v>14</v>
      </c>
      <c r="B50" s="152" t="e">
        <f>VLOOKUP($B$51,#REF!,2,0)</f>
        <v>#REF!</v>
      </c>
      <c r="C50" s="268" t="e">
        <f>VLOOKUP($B$51,#REF!,3,0)</f>
        <v>#REF!</v>
      </c>
      <c r="D50" s="373"/>
      <c r="E50" s="162" t="s">
        <v>14</v>
      </c>
      <c r="F50" s="152" t="e">
        <f>VLOOKUP($F$51,#REF!,2,0)</f>
        <v>#REF!</v>
      </c>
      <c r="G50" s="268" t="e">
        <f>VLOOKUP($F$51,#REF!,3,0)</f>
        <v>#REF!</v>
      </c>
    </row>
    <row r="51" spans="1:7" s="87" customFormat="1" ht="16.5" customHeight="1">
      <c r="A51" s="162" t="s">
        <v>15</v>
      </c>
      <c r="B51" s="169">
        <v>7911277559</v>
      </c>
      <c r="C51" s="164"/>
      <c r="D51" s="369"/>
      <c r="E51" s="162" t="s">
        <v>15</v>
      </c>
      <c r="F51" s="140" t="s">
        <v>30</v>
      </c>
      <c r="G51" s="164"/>
    </row>
    <row r="52" spans="1:7" s="87" customFormat="1" ht="13.8">
      <c r="A52" s="162" t="s">
        <v>16</v>
      </c>
      <c r="B52" s="154" t="e">
        <f>VLOOKUP($B$51,#REF!,6,0)</f>
        <v>#REF!</v>
      </c>
      <c r="C52" s="164"/>
      <c r="D52" s="369"/>
      <c r="E52" s="162" t="s">
        <v>16</v>
      </c>
      <c r="F52" s="160" t="e">
        <f>VLOOKUP($F$51,#REF!,6,0)</f>
        <v>#REF!</v>
      </c>
      <c r="G52" s="164"/>
    </row>
    <row r="53" spans="1:7" s="87" customFormat="1" ht="13.8">
      <c r="A53" s="162" t="s">
        <v>22</v>
      </c>
      <c r="B53" s="155"/>
      <c r="C53" s="164"/>
      <c r="D53" s="369"/>
      <c r="E53" s="162" t="s">
        <v>22</v>
      </c>
      <c r="F53" s="155"/>
      <c r="G53" s="164"/>
    </row>
    <row r="54" spans="1:7" s="87" customFormat="1" ht="15" customHeight="1" thickBot="1">
      <c r="A54" s="167" t="s">
        <v>19</v>
      </c>
      <c r="B54" s="217" t="e">
        <f>B52-B53</f>
        <v>#REF!</v>
      </c>
      <c r="C54" s="168"/>
      <c r="D54" s="369"/>
      <c r="E54" s="167" t="s">
        <v>19</v>
      </c>
      <c r="F54" s="278" t="e">
        <f>F52-F53</f>
        <v>#REF!</v>
      </c>
      <c r="G54" s="168"/>
    </row>
    <row r="55" spans="1:7" s="87" customFormat="1" ht="17.100000000000001" customHeight="1" thickTop="1">
      <c r="A55" s="475" t="s">
        <v>169</v>
      </c>
      <c r="B55" s="476"/>
      <c r="C55" s="477"/>
      <c r="D55" s="370"/>
      <c r="E55" s="475" t="s">
        <v>169</v>
      </c>
      <c r="F55" s="476"/>
      <c r="G55" s="477"/>
    </row>
    <row r="56" spans="1:7" s="87" customFormat="1" ht="17.100000000000001" customHeight="1">
      <c r="A56" s="162" t="s">
        <v>14</v>
      </c>
      <c r="B56" s="152" t="e">
        <f>VLOOKUP($B$57,#REF!,2,0)</f>
        <v>#REF!</v>
      </c>
      <c r="C56" s="269" t="e">
        <f>VLOOKUP($B$57,#REF!,3,0)</f>
        <v>#REF!</v>
      </c>
      <c r="D56" s="116"/>
      <c r="E56" s="162" t="s">
        <v>14</v>
      </c>
      <c r="F56" s="152" t="e">
        <f>VLOOKUP($F$57,#REF!,2,0)</f>
        <v>#REF!</v>
      </c>
      <c r="G56" s="269" t="e">
        <f>VLOOKUP($F$57,#REF!,3,0)</f>
        <v>#REF!</v>
      </c>
    </row>
    <row r="57" spans="1:7" s="87" customFormat="1" ht="17.100000000000001" customHeight="1">
      <c r="A57" s="162" t="s">
        <v>15</v>
      </c>
      <c r="B57" s="159">
        <v>7912238992</v>
      </c>
      <c r="C57" s="164"/>
      <c r="D57" s="369"/>
      <c r="E57" s="162" t="s">
        <v>15</v>
      </c>
      <c r="F57" s="117" t="s">
        <v>168</v>
      </c>
      <c r="G57" s="164"/>
    </row>
    <row r="58" spans="1:7" s="87" customFormat="1" ht="17.100000000000001" customHeight="1">
      <c r="A58" s="162" t="s">
        <v>16</v>
      </c>
      <c r="B58" s="154" t="e">
        <f>VLOOKUP($B$57,#REF!,6,0)</f>
        <v>#REF!</v>
      </c>
      <c r="C58" s="164"/>
      <c r="D58" s="369"/>
      <c r="E58" s="162" t="s">
        <v>16</v>
      </c>
      <c r="F58" s="154" t="e">
        <f>VLOOKUP($F$57,#REF!,6,0)</f>
        <v>#REF!</v>
      </c>
      <c r="G58" s="164"/>
    </row>
    <row r="59" spans="1:7" s="87" customFormat="1" ht="17.100000000000001" customHeight="1">
      <c r="A59" s="162" t="s">
        <v>22</v>
      </c>
      <c r="B59" s="155"/>
      <c r="C59" s="164"/>
      <c r="D59" s="369"/>
      <c r="E59" s="162" t="s">
        <v>22</v>
      </c>
      <c r="F59" s="155"/>
      <c r="G59" s="164"/>
    </row>
    <row r="60" spans="1:7" s="87" customFormat="1" ht="19.5" customHeight="1" thickBot="1">
      <c r="A60" s="167" t="s">
        <v>19</v>
      </c>
      <c r="B60" s="217" t="e">
        <f>B58-B59</f>
        <v>#REF!</v>
      </c>
      <c r="C60" s="168"/>
      <c r="D60" s="369"/>
      <c r="E60" s="167" t="s">
        <v>19</v>
      </c>
      <c r="F60" s="217" t="e">
        <f>F58-F59</f>
        <v>#REF!</v>
      </c>
      <c r="G60" s="168"/>
    </row>
    <row r="61" spans="1:7" s="87" customFormat="1" ht="17.100000000000001" customHeight="1" thickTop="1">
      <c r="A61" s="475" t="s">
        <v>169</v>
      </c>
      <c r="B61" s="476"/>
      <c r="C61" s="477"/>
      <c r="D61" s="370"/>
      <c r="E61" s="475" t="s">
        <v>169</v>
      </c>
      <c r="F61" s="476"/>
      <c r="G61" s="477"/>
    </row>
    <row r="62" spans="1:7" s="87" customFormat="1" ht="17.100000000000001" customHeight="1">
      <c r="A62" s="162" t="s">
        <v>14</v>
      </c>
      <c r="B62" s="152" t="e">
        <f>VLOOKUP($B$63,#REF!,2,0)</f>
        <v>#REF!</v>
      </c>
      <c r="C62" s="268" t="e">
        <f>VLOOKUP($B$63,#REF!,3,0)</f>
        <v>#REF!</v>
      </c>
      <c r="D62" s="373"/>
      <c r="E62" s="162" t="s">
        <v>14</v>
      </c>
      <c r="F62" s="222" t="e">
        <f>VLOOKUP($F$63,#REF!,2,0)</f>
        <v>#REF!</v>
      </c>
      <c r="G62" s="156" t="e">
        <f>VLOOKUP($F$63,#REF!,3,0)</f>
        <v>#REF!</v>
      </c>
    </row>
    <row r="63" spans="1:7" s="87" customFormat="1" ht="17.100000000000001" customHeight="1">
      <c r="A63" s="162" t="s">
        <v>15</v>
      </c>
      <c r="B63" s="170" t="s">
        <v>132</v>
      </c>
      <c r="C63" s="164"/>
      <c r="D63" s="369"/>
      <c r="E63" s="162" t="s">
        <v>15</v>
      </c>
      <c r="F63" s="270" t="s">
        <v>166</v>
      </c>
      <c r="G63" s="164"/>
    </row>
    <row r="64" spans="1:7" s="87" customFormat="1" ht="17.100000000000001" customHeight="1">
      <c r="A64" s="162" t="s">
        <v>16</v>
      </c>
      <c r="B64" s="154" t="e">
        <f>VLOOKUP($B$63,#REF!,6,0)</f>
        <v>#REF!</v>
      </c>
      <c r="C64" s="164"/>
      <c r="D64" s="369"/>
      <c r="E64" s="162" t="s">
        <v>16</v>
      </c>
      <c r="F64" s="154" t="e">
        <f>VLOOKUP($F$63,#REF!,6,0)</f>
        <v>#REF!</v>
      </c>
      <c r="G64" s="164"/>
    </row>
    <row r="65" spans="1:7" s="87" customFormat="1" ht="17.100000000000001" customHeight="1">
      <c r="A65" s="162" t="s">
        <v>22</v>
      </c>
      <c r="B65" s="155"/>
      <c r="C65" s="164"/>
      <c r="D65" s="369"/>
      <c r="E65" s="162" t="s">
        <v>22</v>
      </c>
      <c r="F65" s="155"/>
      <c r="G65" s="164"/>
    </row>
    <row r="66" spans="1:7" s="87" customFormat="1" ht="21.15" customHeight="1" thickBot="1">
      <c r="A66" s="167" t="s">
        <v>19</v>
      </c>
      <c r="B66" s="217" t="e">
        <f>B64-B65</f>
        <v>#REF!</v>
      </c>
      <c r="C66" s="168"/>
      <c r="D66" s="369"/>
      <c r="E66" s="167" t="s">
        <v>19</v>
      </c>
      <c r="F66" s="217" t="e">
        <f>F64-F65</f>
        <v>#REF!</v>
      </c>
      <c r="G66" s="168"/>
    </row>
    <row r="67" spans="1:7" s="87" customFormat="1" ht="17.100000000000001" customHeight="1" thickTop="1">
      <c r="A67" s="475" t="s">
        <v>169</v>
      </c>
      <c r="B67" s="476"/>
      <c r="C67" s="477"/>
      <c r="D67" s="370"/>
      <c r="E67" s="475" t="s">
        <v>169</v>
      </c>
      <c r="F67" s="476"/>
      <c r="G67" s="477"/>
    </row>
    <row r="68" spans="1:7" s="87" customFormat="1" ht="17.100000000000001" customHeight="1">
      <c r="A68" s="162" t="s">
        <v>14</v>
      </c>
      <c r="B68" s="152" t="e">
        <f>VLOOKUP($B$69,#REF!,2,0)</f>
        <v>#REF!</v>
      </c>
      <c r="C68" s="268" t="e">
        <f>VLOOKUP($B$69,#REF!,3,0)</f>
        <v>#REF!</v>
      </c>
      <c r="D68" s="373"/>
      <c r="E68" s="162" t="s">
        <v>14</v>
      </c>
      <c r="F68" s="152" t="e">
        <f>VLOOKUP($F$69,#REF!,2,0)</f>
        <v>#REF!</v>
      </c>
      <c r="G68" s="269" t="e">
        <f>VLOOKUP($F$69,#REF!,3,0)</f>
        <v>#REF!</v>
      </c>
    </row>
    <row r="69" spans="1:7" s="87" customFormat="1" ht="17.100000000000001" customHeight="1">
      <c r="A69" s="162" t="s">
        <v>15</v>
      </c>
      <c r="B69" s="161" t="s">
        <v>142</v>
      </c>
      <c r="C69" s="164"/>
      <c r="D69" s="369"/>
      <c r="E69" s="162" t="s">
        <v>15</v>
      </c>
      <c r="F69" s="191" t="s">
        <v>150</v>
      </c>
      <c r="G69" s="164"/>
    </row>
    <row r="70" spans="1:7" s="87" customFormat="1" ht="17.100000000000001" customHeight="1">
      <c r="A70" s="162" t="s">
        <v>16</v>
      </c>
      <c r="B70" s="154" t="e">
        <f>VLOOKUP($B$69,#REF!,6,0)</f>
        <v>#REF!</v>
      </c>
      <c r="C70" s="164"/>
      <c r="D70" s="369"/>
      <c r="E70" s="162" t="s">
        <v>16</v>
      </c>
      <c r="F70" s="154" t="e">
        <f>VLOOKUP($F$69,#REF!,6,0)</f>
        <v>#REF!</v>
      </c>
      <c r="G70" s="164"/>
    </row>
    <row r="71" spans="1:7" s="87" customFormat="1" ht="17.100000000000001" customHeight="1">
      <c r="A71" s="162" t="s">
        <v>22</v>
      </c>
      <c r="B71" s="155"/>
      <c r="C71" s="164"/>
      <c r="D71" s="369"/>
      <c r="E71" s="162" t="s">
        <v>22</v>
      </c>
      <c r="F71" s="155"/>
      <c r="G71" s="164"/>
    </row>
    <row r="72" spans="1:7" s="87" customFormat="1" ht="17.100000000000001" customHeight="1" thickBot="1">
      <c r="A72" s="167" t="s">
        <v>19</v>
      </c>
      <c r="B72" s="217" t="e">
        <f>B70-B71</f>
        <v>#REF!</v>
      </c>
      <c r="C72" s="168"/>
      <c r="D72" s="369"/>
      <c r="E72" s="167" t="s">
        <v>19</v>
      </c>
      <c r="F72" s="217" t="e">
        <f>F70-F71</f>
        <v>#REF!</v>
      </c>
      <c r="G72" s="168"/>
    </row>
    <row r="73" spans="1:7" s="87" customFormat="1" ht="14.4" thickTop="1">
      <c r="A73" s="475" t="s">
        <v>169</v>
      </c>
      <c r="B73" s="476"/>
      <c r="C73" s="477"/>
      <c r="D73" s="370"/>
      <c r="E73" s="475" t="s">
        <v>169</v>
      </c>
      <c r="F73" s="476"/>
      <c r="G73" s="477"/>
    </row>
    <row r="74" spans="1:7" s="87" customFormat="1" ht="13.8">
      <c r="A74" s="162" t="s">
        <v>14</v>
      </c>
      <c r="B74" s="152" t="e">
        <f>VLOOKUP($B$75,#REF!,2,0)</f>
        <v>#REF!</v>
      </c>
      <c r="C74" s="268" t="e">
        <f>VLOOKUP($B$75,#REF!,3,0)</f>
        <v>#REF!</v>
      </c>
      <c r="D74" s="373"/>
      <c r="E74" s="162" t="s">
        <v>14</v>
      </c>
      <c r="F74" s="152" t="e">
        <f>VLOOKUP($F$75,#REF!,2,0)</f>
        <v>#REF!</v>
      </c>
      <c r="G74" s="269" t="e">
        <f>VLOOKUP($F$75,#REF!,3,0)</f>
        <v>#REF!</v>
      </c>
    </row>
    <row r="75" spans="1:7" s="87" customFormat="1" ht="13.8">
      <c r="A75" s="162" t="s">
        <v>15</v>
      </c>
      <c r="B75" s="150"/>
      <c r="C75" s="164"/>
      <c r="D75" s="369"/>
      <c r="E75" s="162" t="s">
        <v>15</v>
      </c>
      <c r="F75" s="191"/>
      <c r="G75" s="164"/>
    </row>
    <row r="76" spans="1:7" s="87" customFormat="1" ht="13.8">
      <c r="A76" s="162" t="s">
        <v>16</v>
      </c>
      <c r="B76" s="154" t="e">
        <f>VLOOKUP($B$75,#REF!,6,0)</f>
        <v>#REF!</v>
      </c>
      <c r="C76" s="164"/>
      <c r="D76" s="369"/>
      <c r="E76" s="162" t="s">
        <v>16</v>
      </c>
      <c r="F76" s="154" t="e">
        <f>VLOOKUP($F$75,#REF!,6,0)</f>
        <v>#REF!</v>
      </c>
      <c r="G76" s="164"/>
    </row>
    <row r="77" spans="1:7" s="87" customFormat="1" ht="13.8">
      <c r="A77" s="162" t="s">
        <v>22</v>
      </c>
      <c r="B77" s="155"/>
      <c r="C77" s="164"/>
      <c r="D77" s="369"/>
      <c r="E77" s="162" t="s">
        <v>22</v>
      </c>
      <c r="F77" s="155"/>
      <c r="G77" s="164"/>
    </row>
    <row r="78" spans="1:7" s="87" customFormat="1" ht="14.4" thickBot="1">
      <c r="A78" s="167" t="s">
        <v>19</v>
      </c>
      <c r="B78" s="271" t="e">
        <f>B76-B77</f>
        <v>#REF!</v>
      </c>
      <c r="C78" s="168"/>
      <c r="D78" s="369"/>
      <c r="E78" s="167" t="s">
        <v>19</v>
      </c>
      <c r="F78" s="157" t="e">
        <f>F76-F77</f>
        <v>#REF!</v>
      </c>
      <c r="G78" s="168"/>
    </row>
    <row r="79" spans="1:7" s="87" customFormat="1" ht="13.8" thickTop="1"/>
    <row r="80" spans="1:7" s="87" customFormat="1"/>
    <row r="81" s="87" customFormat="1"/>
    <row r="82" s="87" customFormat="1"/>
    <row r="83" s="87" customFormat="1"/>
    <row r="84" s="87" customFormat="1"/>
    <row r="85" s="87" customFormat="1"/>
    <row r="86" s="87" customFormat="1"/>
    <row r="87" s="87" customFormat="1"/>
    <row r="88" s="87" customFormat="1"/>
    <row r="89" s="87" customFormat="1"/>
    <row r="90" s="87" customFormat="1"/>
    <row r="91" s="87" customFormat="1"/>
    <row r="92" s="87" customFormat="1"/>
    <row r="93" s="87" customFormat="1"/>
    <row r="94" s="87" customFormat="1"/>
    <row r="95" s="87" customFormat="1"/>
    <row r="96" s="87" customFormat="1"/>
    <row r="97" s="87" customFormat="1"/>
    <row r="98" s="87" customFormat="1"/>
    <row r="99" s="87" customFormat="1"/>
    <row r="100" s="87" customFormat="1"/>
    <row r="101" s="87" customFormat="1"/>
    <row r="102" s="87" customFormat="1"/>
    <row r="103" s="87" customFormat="1"/>
    <row r="104" s="87" customFormat="1"/>
    <row r="105" s="87" customFormat="1"/>
    <row r="106" s="87" customFormat="1"/>
    <row r="107" s="87" customFormat="1"/>
    <row r="108" s="87" customFormat="1"/>
    <row r="109" s="87" customFormat="1"/>
    <row r="110" s="87" customFormat="1"/>
    <row r="111" s="87" customFormat="1"/>
    <row r="112" s="87" customFormat="1"/>
    <row r="113" s="87" customFormat="1"/>
    <row r="114" s="87" customFormat="1"/>
    <row r="115" s="87" customFormat="1"/>
    <row r="116" s="87" customFormat="1"/>
    <row r="117" s="87" customFormat="1"/>
    <row r="118" s="87" customFormat="1"/>
    <row r="119" s="87" customFormat="1"/>
    <row r="120" s="87" customFormat="1"/>
    <row r="121" s="87" customFormat="1"/>
    <row r="122" s="87" customFormat="1"/>
    <row r="123" s="87" customFormat="1"/>
    <row r="124" s="87" customFormat="1"/>
    <row r="125" s="87" customFormat="1"/>
    <row r="126" s="87" customFormat="1"/>
    <row r="127" s="87" customFormat="1"/>
  </sheetData>
  <mergeCells count="24">
    <mergeCell ref="E36:G36"/>
    <mergeCell ref="E29:G29"/>
    <mergeCell ref="A36:C36"/>
    <mergeCell ref="E55:G55"/>
    <mergeCell ref="A29:C29"/>
    <mergeCell ref="A43:C43"/>
    <mergeCell ref="E43:G43"/>
    <mergeCell ref="A49:C49"/>
    <mergeCell ref="E49:G49"/>
    <mergeCell ref="A55:C55"/>
    <mergeCell ref="A1:C1"/>
    <mergeCell ref="E1:G1"/>
    <mergeCell ref="A22:C22"/>
    <mergeCell ref="E22:G22"/>
    <mergeCell ref="A8:C8"/>
    <mergeCell ref="E8:G8"/>
    <mergeCell ref="A15:C15"/>
    <mergeCell ref="E15:G15"/>
    <mergeCell ref="A61:C61"/>
    <mergeCell ref="E61:G61"/>
    <mergeCell ref="A73:C73"/>
    <mergeCell ref="E73:G73"/>
    <mergeCell ref="A67:C67"/>
    <mergeCell ref="E67:G67"/>
  </mergeCells>
  <phoneticPr fontId="22" type="noConversion"/>
  <pageMargins left="0.5" right="0.5" top="0.5" bottom="0.5" header="0.5" footer="0.5"/>
  <pageSetup paperSize="9" orientation="portrait" horizontalDpi="240" verticalDpi="14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</sheetPr>
  <dimension ref="A1:K80"/>
  <sheetViews>
    <sheetView workbookViewId="0">
      <selection activeCell="G11" sqref="G11"/>
    </sheetView>
  </sheetViews>
  <sheetFormatPr defaultColWidth="9" defaultRowHeight="15.6"/>
  <cols>
    <col min="1" max="1" width="4.09765625" style="1" customWidth="1"/>
    <col min="2" max="2" width="10.5" style="1" customWidth="1"/>
    <col min="3" max="3" width="19.3984375" style="1" customWidth="1"/>
    <col min="4" max="4" width="8.19921875" style="1" customWidth="1"/>
    <col min="5" max="5" width="13" style="1" customWidth="1"/>
    <col min="6" max="6" width="9.765625E-2" style="5" customWidth="1"/>
    <col min="7" max="7" width="19.8984375" style="1" customWidth="1"/>
    <col min="8" max="8" width="17.3984375" style="1" customWidth="1"/>
    <col min="9" max="9" width="12.5" style="91" customWidth="1"/>
    <col min="10" max="10" width="14.09765625" style="1" customWidth="1"/>
    <col min="11" max="11" width="8.8984375" style="1" customWidth="1"/>
    <col min="12" max="12" width="11.8984375" style="1" customWidth="1"/>
    <col min="13" max="16384" width="9" style="1"/>
  </cols>
  <sheetData>
    <row r="1" spans="1:11" ht="19.95" customHeight="1">
      <c r="A1" s="462" t="s">
        <v>152</v>
      </c>
      <c r="B1" s="462"/>
      <c r="C1" s="462"/>
      <c r="D1" s="462"/>
      <c r="E1" s="462" t="s">
        <v>5</v>
      </c>
      <c r="F1" s="462"/>
      <c r="G1" s="462"/>
      <c r="H1" s="462"/>
    </row>
    <row r="2" spans="1:11" ht="18" customHeight="1">
      <c r="A2" s="463" t="s">
        <v>199</v>
      </c>
      <c r="B2" s="463"/>
      <c r="C2" s="463"/>
      <c r="D2" s="463"/>
      <c r="E2" s="462" t="s">
        <v>6</v>
      </c>
      <c r="F2" s="462"/>
      <c r="G2" s="462"/>
      <c r="H2" s="462"/>
    </row>
    <row r="3" spans="1:11" ht="16.5" customHeight="1">
      <c r="A3" s="481" t="s">
        <v>184</v>
      </c>
      <c r="B3" s="462"/>
      <c r="C3" s="462"/>
      <c r="D3" s="462"/>
      <c r="E3" s="464" t="s">
        <v>2</v>
      </c>
      <c r="F3" s="464"/>
      <c r="G3" s="464"/>
      <c r="H3" s="464"/>
    </row>
    <row r="4" spans="1:11" ht="31.65" customHeight="1">
      <c r="A4" s="461" t="s">
        <v>201</v>
      </c>
      <c r="B4" s="461"/>
      <c r="C4" s="461"/>
      <c r="D4" s="461"/>
      <c r="E4" s="461"/>
      <c r="F4" s="461"/>
      <c r="G4" s="461"/>
      <c r="H4" s="461"/>
    </row>
    <row r="5" spans="1:11" ht="27.75" customHeight="1" thickBot="1">
      <c r="A5" s="459" t="s">
        <v>133</v>
      </c>
      <c r="B5" s="459"/>
      <c r="C5" s="459"/>
      <c r="D5" s="459"/>
      <c r="E5" s="459"/>
      <c r="F5" s="459"/>
      <c r="G5" s="459"/>
      <c r="H5" s="459"/>
    </row>
    <row r="6" spans="1:11" ht="18.75" customHeight="1" thickTop="1">
      <c r="A6" s="482" t="s">
        <v>0</v>
      </c>
      <c r="B6" s="467" t="s">
        <v>196</v>
      </c>
      <c r="C6" s="466" t="s">
        <v>8</v>
      </c>
      <c r="D6" s="467"/>
      <c r="E6" s="486" t="s">
        <v>9</v>
      </c>
      <c r="F6" s="2" t="s">
        <v>10</v>
      </c>
      <c r="G6" s="488" t="s">
        <v>12</v>
      </c>
      <c r="H6" s="488" t="s">
        <v>202</v>
      </c>
      <c r="J6" s="491" t="s">
        <v>143</v>
      </c>
    </row>
    <row r="7" spans="1:11" ht="24.75" customHeight="1" thickBot="1">
      <c r="A7" s="483"/>
      <c r="B7" s="484"/>
      <c r="C7" s="485"/>
      <c r="D7" s="484"/>
      <c r="E7" s="487"/>
      <c r="F7" s="3" t="s">
        <v>11</v>
      </c>
      <c r="G7" s="489"/>
      <c r="H7" s="489"/>
      <c r="J7" s="491"/>
      <c r="K7" s="1" t="s">
        <v>154</v>
      </c>
    </row>
    <row r="8" spans="1:11" s="8" customFormat="1" ht="12.75" customHeight="1" thickTop="1" thickBot="1">
      <c r="A8" s="14">
        <v>1</v>
      </c>
      <c r="B8" s="15">
        <v>2</v>
      </c>
      <c r="C8" s="468">
        <v>3</v>
      </c>
      <c r="D8" s="469"/>
      <c r="E8" s="16">
        <v>4</v>
      </c>
      <c r="F8" s="7">
        <v>5</v>
      </c>
      <c r="G8" s="17">
        <v>5</v>
      </c>
      <c r="H8" s="18">
        <v>6</v>
      </c>
      <c r="I8" s="92"/>
    </row>
    <row r="9" spans="1:11" ht="21.75" hidden="1" customHeight="1" thickTop="1">
      <c r="A9" s="340">
        <v>1</v>
      </c>
      <c r="B9" s="341" t="s">
        <v>159</v>
      </c>
      <c r="C9" s="289" t="s">
        <v>160</v>
      </c>
      <c r="D9" s="342" t="s">
        <v>31</v>
      </c>
      <c r="E9" s="290" t="s">
        <v>161</v>
      </c>
      <c r="F9" s="343">
        <v>1.99</v>
      </c>
      <c r="G9" s="344"/>
      <c r="H9" s="345"/>
      <c r="I9" s="220"/>
      <c r="J9" s="221">
        <v>4150000</v>
      </c>
    </row>
    <row r="10" spans="1:11" s="5" customFormat="1" ht="18" customHeight="1" thickTop="1">
      <c r="A10" s="292">
        <v>1</v>
      </c>
      <c r="B10" s="144" t="s">
        <v>190</v>
      </c>
      <c r="C10" s="97" t="s">
        <v>197</v>
      </c>
      <c r="D10" s="280" t="s">
        <v>189</v>
      </c>
      <c r="E10" s="100" t="s">
        <v>157</v>
      </c>
      <c r="F10" s="98">
        <v>1</v>
      </c>
      <c r="G10" s="348"/>
      <c r="H10" s="352"/>
      <c r="I10" s="204">
        <f>+J10*K10</f>
        <v>1620000</v>
      </c>
      <c r="J10" s="121">
        <v>2700000</v>
      </c>
      <c r="K10" s="336">
        <v>0.6</v>
      </c>
    </row>
    <row r="11" spans="1:11" s="5" customFormat="1" ht="18" customHeight="1">
      <c r="A11" s="292">
        <v>2</v>
      </c>
      <c r="B11" s="262" t="s">
        <v>194</v>
      </c>
      <c r="C11" s="97" t="s">
        <v>193</v>
      </c>
      <c r="D11" s="280" t="s">
        <v>195</v>
      </c>
      <c r="E11" s="100" t="s">
        <v>157</v>
      </c>
      <c r="F11" s="98"/>
      <c r="G11" s="348"/>
      <c r="H11" s="352"/>
      <c r="I11" s="204"/>
      <c r="J11" s="121"/>
      <c r="K11" s="336"/>
    </row>
    <row r="12" spans="1:11" s="102" customFormat="1" ht="18" customHeight="1">
      <c r="A12" s="259">
        <f>+A11</f>
        <v>2</v>
      </c>
      <c r="B12" s="353"/>
      <c r="C12" s="260" t="s">
        <v>123</v>
      </c>
      <c r="D12" s="273"/>
      <c r="E12" s="334"/>
      <c r="F12" s="261">
        <f>SUM(F10:F11)</f>
        <v>1</v>
      </c>
      <c r="G12" s="354"/>
      <c r="H12" s="355"/>
      <c r="I12" s="204">
        <f>+J12*K12</f>
        <v>1620000</v>
      </c>
      <c r="J12" s="201">
        <f>SUM(J10:J11)</f>
        <v>2700000</v>
      </c>
      <c r="K12" s="336">
        <v>0.6</v>
      </c>
    </row>
    <row r="13" spans="1:11" s="5" customFormat="1" ht="18" customHeight="1">
      <c r="A13" s="96"/>
      <c r="B13" s="262"/>
      <c r="C13" s="492" t="s">
        <v>134</v>
      </c>
      <c r="D13" s="493"/>
      <c r="E13" s="494"/>
      <c r="F13" s="98"/>
      <c r="G13" s="356"/>
      <c r="H13" s="352"/>
      <c r="I13" s="204">
        <f>+J13*K13</f>
        <v>0</v>
      </c>
      <c r="J13" s="124"/>
      <c r="K13" s="336">
        <v>0.6</v>
      </c>
    </row>
    <row r="14" spans="1:11" s="5" customFormat="1" ht="18" customHeight="1">
      <c r="A14" s="292">
        <v>1</v>
      </c>
      <c r="B14" s="274" t="s">
        <v>142</v>
      </c>
      <c r="C14" s="275" t="s">
        <v>138</v>
      </c>
      <c r="D14" s="276" t="s">
        <v>65</v>
      </c>
      <c r="E14" s="349" t="s">
        <v>139</v>
      </c>
      <c r="F14" s="350"/>
      <c r="G14" s="348"/>
      <c r="H14" s="357"/>
      <c r="I14" s="204">
        <f>+J14*K14</f>
        <v>2400000</v>
      </c>
      <c r="J14" s="124">
        <v>4000000</v>
      </c>
      <c r="K14" s="336">
        <v>0.6</v>
      </c>
    </row>
    <row r="15" spans="1:11" s="43" customFormat="1" ht="18" customHeight="1">
      <c r="A15" s="292">
        <f>+A14+1</f>
        <v>2</v>
      </c>
      <c r="B15" s="359">
        <v>7912086772</v>
      </c>
      <c r="C15" s="99" t="s">
        <v>198</v>
      </c>
      <c r="D15" s="330" t="s">
        <v>191</v>
      </c>
      <c r="E15" s="100" t="s">
        <v>20</v>
      </c>
      <c r="F15" s="360">
        <v>1200000</v>
      </c>
      <c r="G15" s="348"/>
      <c r="H15" s="352"/>
      <c r="I15" s="204"/>
      <c r="J15" s="358"/>
      <c r="K15" s="336"/>
    </row>
    <row r="16" spans="1:11" s="102" customFormat="1" ht="18" customHeight="1" thickBot="1">
      <c r="A16" s="263">
        <f>+A15</f>
        <v>2</v>
      </c>
      <c r="B16" s="331"/>
      <c r="C16" s="320" t="s">
        <v>123</v>
      </c>
      <c r="D16" s="332"/>
      <c r="E16" s="333"/>
      <c r="F16" s="264">
        <f>SUM(F14:F15)</f>
        <v>1200000</v>
      </c>
      <c r="G16" s="265"/>
      <c r="H16" s="266"/>
      <c r="I16" s="209"/>
      <c r="J16" s="202">
        <f>SUM(J14:J15)</f>
        <v>4000000</v>
      </c>
      <c r="K16" s="337">
        <f>SUM(K14:K15)</f>
        <v>0.6</v>
      </c>
    </row>
    <row r="17" spans="1:11" ht="18" customHeight="1" thickTop="1" thickBot="1">
      <c r="A17" s="129">
        <f>+A16+A12</f>
        <v>4</v>
      </c>
      <c r="B17" s="85"/>
      <c r="C17" s="470" t="s">
        <v>3</v>
      </c>
      <c r="D17" s="471"/>
      <c r="E17" s="335"/>
      <c r="F17" s="9">
        <f>F12+F16</f>
        <v>1200001</v>
      </c>
      <c r="G17" s="10">
        <f>G12+G16</f>
        <v>0</v>
      </c>
      <c r="H17" s="81"/>
      <c r="I17" s="208"/>
      <c r="J17" s="202">
        <f>J12+J16</f>
        <v>6700000</v>
      </c>
      <c r="K17" s="337">
        <f>K12+K16</f>
        <v>1.2</v>
      </c>
    </row>
    <row r="18" spans="1:11" ht="23.1" customHeight="1" thickTop="1">
      <c r="A18" s="212"/>
      <c r="B18" s="84"/>
      <c r="C18" s="288"/>
      <c r="D18" s="214"/>
      <c r="E18" s="82"/>
      <c r="F18" s="75"/>
      <c r="G18" s="215"/>
      <c r="H18" s="83"/>
      <c r="I18" s="94"/>
      <c r="J18" s="216"/>
      <c r="K18" s="338"/>
    </row>
    <row r="19" spans="1:11" s="28" customFormat="1" ht="24" customHeight="1">
      <c r="C19" s="112"/>
      <c r="D19" s="113"/>
      <c r="F19" s="460" t="s">
        <v>200</v>
      </c>
      <c r="G19" s="460"/>
      <c r="H19" s="460"/>
      <c r="I19" s="94"/>
      <c r="K19" s="339"/>
    </row>
    <row r="20" spans="1:11" s="28" customFormat="1" ht="16.5" customHeight="1">
      <c r="A20" s="460" t="s">
        <v>13</v>
      </c>
      <c r="B20" s="460"/>
      <c r="D20" s="28" t="s">
        <v>188</v>
      </c>
      <c r="F20" s="460" t="s">
        <v>118</v>
      </c>
      <c r="G20" s="460"/>
      <c r="H20" s="460"/>
      <c r="I20" s="94"/>
      <c r="K20" s="339"/>
    </row>
    <row r="21" spans="1:11" s="28" customFormat="1">
      <c r="F21" s="114"/>
      <c r="I21" s="94"/>
    </row>
    <row r="22" spans="1:11" s="28" customFormat="1">
      <c r="F22" s="114"/>
      <c r="I22" s="94"/>
    </row>
    <row r="23" spans="1:11" s="28" customFormat="1">
      <c r="F23" s="114"/>
      <c r="I23" s="94"/>
    </row>
    <row r="24" spans="1:11" s="28" customFormat="1">
      <c r="F24" s="114"/>
      <c r="I24" s="94"/>
    </row>
    <row r="25" spans="1:11" s="28" customFormat="1" ht="14.25" customHeight="1">
      <c r="A25" s="490" t="s">
        <v>170</v>
      </c>
      <c r="B25" s="490"/>
      <c r="C25" s="490"/>
      <c r="D25" s="103"/>
      <c r="F25" s="114"/>
      <c r="I25" s="94"/>
    </row>
    <row r="26" spans="1:11" s="103" customFormat="1">
      <c r="H26" s="8"/>
      <c r="I26" s="101"/>
    </row>
    <row r="27" spans="1:11">
      <c r="I27" s="94"/>
      <c r="J27" s="28"/>
    </row>
    <row r="28" spans="1:11">
      <c r="I28" s="94"/>
      <c r="J28" s="28"/>
    </row>
    <row r="29" spans="1:11">
      <c r="I29" s="94"/>
      <c r="J29" s="28"/>
    </row>
    <row r="30" spans="1:11">
      <c r="I30" s="94"/>
      <c r="J30" s="28"/>
    </row>
    <row r="31" spans="1:11">
      <c r="I31" s="94"/>
      <c r="J31" s="28"/>
    </row>
    <row r="32" spans="1:11">
      <c r="I32" s="94"/>
      <c r="J32" s="28"/>
    </row>
    <row r="33" spans="9:10">
      <c r="I33" s="94"/>
      <c r="J33" s="28"/>
    </row>
    <row r="34" spans="9:10">
      <c r="I34" s="94"/>
      <c r="J34" s="28"/>
    </row>
    <row r="35" spans="9:10">
      <c r="J35" s="28"/>
    </row>
    <row r="36" spans="9:10">
      <c r="J36" s="28"/>
    </row>
    <row r="37" spans="9:10">
      <c r="J37" s="28"/>
    </row>
    <row r="38" spans="9:10">
      <c r="J38" s="28"/>
    </row>
    <row r="39" spans="9:10">
      <c r="J39" s="28"/>
    </row>
    <row r="40" spans="9:10">
      <c r="J40" s="28"/>
    </row>
    <row r="41" spans="9:10">
      <c r="J41" s="28"/>
    </row>
    <row r="42" spans="9:10">
      <c r="J42" s="28"/>
    </row>
    <row r="43" spans="9:10">
      <c r="J43" s="28"/>
    </row>
    <row r="44" spans="9:10">
      <c r="J44" s="28"/>
    </row>
    <row r="45" spans="9:10">
      <c r="J45" s="28"/>
    </row>
    <row r="46" spans="9:10">
      <c r="J46" s="28"/>
    </row>
    <row r="47" spans="9:10">
      <c r="J47" s="28"/>
    </row>
    <row r="48" spans="9:10">
      <c r="J48" s="28"/>
    </row>
    <row r="76" spans="1:10">
      <c r="H76" s="4"/>
    </row>
    <row r="77" spans="1:10" s="5" customFormat="1" ht="23.1" customHeight="1">
      <c r="A77" s="33">
        <f>[2]UNG!A11+1</f>
        <v>4</v>
      </c>
      <c r="B77" s="37" t="s">
        <v>71</v>
      </c>
      <c r="C77" s="22" t="s">
        <v>72</v>
      </c>
      <c r="D77" s="38" t="s">
        <v>73</v>
      </c>
      <c r="E77" s="39" t="s">
        <v>82</v>
      </c>
      <c r="F77" s="48">
        <v>2.37</v>
      </c>
      <c r="G77" s="47">
        <v>2500000</v>
      </c>
      <c r="H77" s="1"/>
      <c r="I77" s="91"/>
      <c r="J77" s="44">
        <v>1500000</v>
      </c>
    </row>
    <row r="78" spans="1:10" s="43" customFormat="1" ht="23.1" customHeight="1">
      <c r="A78" s="33" t="e">
        <f>#REF!+1</f>
        <v>#REF!</v>
      </c>
      <c r="B78" s="34">
        <v>7911017708</v>
      </c>
      <c r="C78" s="20" t="s">
        <v>91</v>
      </c>
      <c r="D78" s="21" t="s">
        <v>92</v>
      </c>
      <c r="E78" s="27" t="s">
        <v>20</v>
      </c>
      <c r="F78" s="30">
        <v>1.65</v>
      </c>
      <c r="G78" s="47">
        <v>700000</v>
      </c>
      <c r="H78" s="42"/>
      <c r="I78" s="95"/>
      <c r="J78" s="46"/>
    </row>
    <row r="79" spans="1:10" s="5" customFormat="1" ht="23.1" customHeight="1">
      <c r="A79" s="33" t="e">
        <f>#REF!+1</f>
        <v>#REF!</v>
      </c>
      <c r="B79" s="34">
        <v>7909016048</v>
      </c>
      <c r="C79" s="20" t="s">
        <v>43</v>
      </c>
      <c r="D79" s="21" t="s">
        <v>44</v>
      </c>
      <c r="E79" s="27" t="s">
        <v>20</v>
      </c>
      <c r="F79" s="30">
        <v>1.65</v>
      </c>
      <c r="G79" s="47">
        <v>700000</v>
      </c>
      <c r="H79" s="42"/>
      <c r="I79" s="95" t="s">
        <v>81</v>
      </c>
      <c r="J79" s="45">
        <v>500000</v>
      </c>
    </row>
    <row r="80" spans="1:10">
      <c r="B80" s="79">
        <v>7908364521</v>
      </c>
      <c r="C80" s="80" t="s">
        <v>110</v>
      </c>
      <c r="D80" s="26" t="s">
        <v>111</v>
      </c>
      <c r="E80" s="78" t="s">
        <v>20</v>
      </c>
      <c r="F80" s="50">
        <v>1.65</v>
      </c>
      <c r="G80" s="47">
        <v>700000</v>
      </c>
      <c r="H80" s="42"/>
    </row>
  </sheetData>
  <mergeCells count="22">
    <mergeCell ref="A25:C25"/>
    <mergeCell ref="J6:J7"/>
    <mergeCell ref="C8:D8"/>
    <mergeCell ref="C13:E13"/>
    <mergeCell ref="C17:D17"/>
    <mergeCell ref="F19:H19"/>
    <mergeCell ref="A20:B20"/>
    <mergeCell ref="F20:H20"/>
    <mergeCell ref="A4:H4"/>
    <mergeCell ref="A5:H5"/>
    <mergeCell ref="A6:A7"/>
    <mergeCell ref="B6:B7"/>
    <mergeCell ref="C6:D7"/>
    <mergeCell ref="E6:E7"/>
    <mergeCell ref="H6:H7"/>
    <mergeCell ref="G6:G7"/>
    <mergeCell ref="A1:D1"/>
    <mergeCell ref="E1:H1"/>
    <mergeCell ref="A2:D2"/>
    <mergeCell ref="E2:H2"/>
    <mergeCell ref="A3:D3"/>
    <mergeCell ref="E3:H3"/>
  </mergeCells>
  <phoneticPr fontId="22" type="noConversion"/>
  <printOptions horizontalCentered="1"/>
  <pageMargins left="0.25" right="0.25" top="0.38" bottom="0" header="0.36" footer="0.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0479-0694-4E75-B2F6-46E0BF19AD93}">
  <dimension ref="A1:AX48"/>
  <sheetViews>
    <sheetView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S17" sqref="S17"/>
    </sheetView>
  </sheetViews>
  <sheetFormatPr defaultColWidth="9" defaultRowHeight="13.8"/>
  <cols>
    <col min="1" max="1" width="4.3984375" style="83" customWidth="1"/>
    <col min="2" max="2" width="27.8984375" style="83" customWidth="1"/>
    <col min="3" max="3" width="8.59765625" style="83" customWidth="1"/>
    <col min="4" max="4" width="4" style="378" customWidth="1"/>
    <col min="5" max="34" width="4" style="385" customWidth="1"/>
    <col min="35" max="35" width="5.19921875" style="379" customWidth="1"/>
    <col min="36" max="37" width="5.5" style="379" customWidth="1"/>
    <col min="38" max="38" width="6.09765625" style="397" customWidth="1"/>
    <col min="39" max="39" width="6.5" style="379" customWidth="1"/>
    <col min="40" max="40" width="6.8984375" style="379" customWidth="1"/>
    <col min="41" max="41" width="7.19921875" style="378" customWidth="1"/>
    <col min="42" max="42" width="21.3984375" style="378" customWidth="1"/>
    <col min="43" max="16384" width="9" style="378"/>
  </cols>
  <sheetData>
    <row r="1" spans="1:50" s="28" customFormat="1" ht="18" customHeight="1">
      <c r="A1" s="495" t="s">
        <v>260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02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3"/>
      <c r="AM1" s="423"/>
      <c r="AN1" s="423"/>
      <c r="AO1" s="423"/>
      <c r="AP1" s="423"/>
      <c r="AQ1" s="103"/>
      <c r="AR1" s="103"/>
      <c r="AS1" s="103"/>
      <c r="AT1" s="103"/>
      <c r="AU1" s="103"/>
      <c r="AV1" s="103"/>
      <c r="AW1" s="103"/>
      <c r="AX1" s="103"/>
    </row>
    <row r="2" spans="1:50" s="28" customFormat="1" ht="18" customHeight="1">
      <c r="A2" s="496" t="s">
        <v>271</v>
      </c>
      <c r="B2" s="496"/>
      <c r="C2" s="496"/>
      <c r="D2" s="496"/>
      <c r="E2" s="496"/>
      <c r="F2" s="496"/>
      <c r="G2" s="496"/>
      <c r="H2" s="496"/>
      <c r="I2" s="496"/>
      <c r="J2" s="496"/>
      <c r="K2" s="404"/>
      <c r="L2" s="404"/>
      <c r="M2" s="405"/>
      <c r="N2" s="405"/>
      <c r="O2" s="405"/>
      <c r="P2" s="405"/>
      <c r="Q2" s="405"/>
      <c r="R2" s="403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  <c r="AP2" s="402"/>
    </row>
    <row r="3" spans="1:50" s="28" customFormat="1" ht="10.5" customHeight="1">
      <c r="A3" s="497"/>
      <c r="B3" s="497"/>
      <c r="C3" s="497"/>
      <c r="D3" s="497"/>
      <c r="E3" s="497"/>
      <c r="F3" s="497"/>
      <c r="G3" s="497"/>
      <c r="H3" s="497"/>
      <c r="I3" s="497"/>
      <c r="J3" s="497"/>
      <c r="K3" s="404"/>
      <c r="L3" s="404"/>
      <c r="M3" s="405"/>
      <c r="N3" s="405"/>
      <c r="O3" s="405"/>
      <c r="P3" s="405"/>
      <c r="Q3" s="405"/>
      <c r="R3" s="403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</row>
    <row r="4" spans="1:50" s="328" customFormat="1" ht="30.75" customHeight="1">
      <c r="A4" s="498" t="str">
        <f>"BẢNG CHẤM CÔNG THÁNG "&amp;TEXT(MONTH($D$7),"00")&amp;" NĂM 2025"</f>
        <v>BẢNG CHẤM CÔNG THÁNG 12 NĂM 2025</v>
      </c>
      <c r="B4" s="498"/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8"/>
      <c r="U4" s="498"/>
      <c r="V4" s="498"/>
      <c r="W4" s="498"/>
      <c r="X4" s="498"/>
      <c r="Y4" s="498"/>
      <c r="Z4" s="498"/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8"/>
      <c r="AP4" s="498"/>
    </row>
    <row r="5" spans="1:50" ht="20.25" customHeight="1">
      <c r="A5" s="499" t="s">
        <v>0</v>
      </c>
      <c r="B5" s="500" t="s">
        <v>174</v>
      </c>
      <c r="C5" s="499" t="s">
        <v>208</v>
      </c>
      <c r="D5" s="504" t="s">
        <v>209</v>
      </c>
      <c r="E5" s="505"/>
      <c r="F5" s="505"/>
      <c r="G5" s="505"/>
      <c r="H5" s="505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6"/>
      <c r="AI5" s="510" t="s">
        <v>210</v>
      </c>
      <c r="AJ5" s="511"/>
      <c r="AK5" s="512"/>
      <c r="AL5" s="513" t="s">
        <v>211</v>
      </c>
      <c r="AM5" s="514"/>
      <c r="AN5" s="514"/>
      <c r="AO5" s="501" t="s">
        <v>212</v>
      </c>
      <c r="AP5" s="515" t="s">
        <v>178</v>
      </c>
    </row>
    <row r="6" spans="1:50" s="406" customFormat="1" ht="20.25" customHeight="1">
      <c r="A6" s="499"/>
      <c r="B6" s="500"/>
      <c r="C6" s="499"/>
      <c r="D6" s="507"/>
      <c r="E6" s="508"/>
      <c r="F6" s="508"/>
      <c r="G6" s="508"/>
      <c r="H6" s="508"/>
      <c r="I6" s="508"/>
      <c r="J6" s="508"/>
      <c r="K6" s="508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9"/>
      <c r="AI6" s="518" t="s">
        <v>253</v>
      </c>
      <c r="AJ6" s="521" t="s">
        <v>255</v>
      </c>
      <c r="AK6" s="521" t="s">
        <v>214</v>
      </c>
      <c r="AL6" s="524" t="s">
        <v>243</v>
      </c>
      <c r="AM6" s="521" t="s">
        <v>254</v>
      </c>
      <c r="AN6" s="521" t="s">
        <v>215</v>
      </c>
      <c r="AO6" s="502"/>
      <c r="AP6" s="516"/>
    </row>
    <row r="7" spans="1:50" s="406" customFormat="1" ht="32.25" customHeight="1">
      <c r="A7" s="499"/>
      <c r="B7" s="500"/>
      <c r="C7" s="499"/>
      <c r="D7" s="445">
        <v>45992</v>
      </c>
      <c r="E7" s="407">
        <f>D7+1</f>
        <v>45993</v>
      </c>
      <c r="F7" s="407">
        <f t="shared" ref="F7:AH7" si="0">E7+1</f>
        <v>45994</v>
      </c>
      <c r="G7" s="407">
        <f t="shared" si="0"/>
        <v>45995</v>
      </c>
      <c r="H7" s="407">
        <f t="shared" si="0"/>
        <v>45996</v>
      </c>
      <c r="I7" s="407">
        <f t="shared" si="0"/>
        <v>45997</v>
      </c>
      <c r="J7" s="450">
        <f t="shared" si="0"/>
        <v>45998</v>
      </c>
      <c r="K7" s="407">
        <f t="shared" si="0"/>
        <v>45999</v>
      </c>
      <c r="L7" s="407">
        <f t="shared" si="0"/>
        <v>46000</v>
      </c>
      <c r="M7" s="407">
        <f t="shared" si="0"/>
        <v>46001</v>
      </c>
      <c r="N7" s="407">
        <f t="shared" si="0"/>
        <v>46002</v>
      </c>
      <c r="O7" s="407">
        <f t="shared" si="0"/>
        <v>46003</v>
      </c>
      <c r="P7" s="407">
        <f t="shared" si="0"/>
        <v>46004</v>
      </c>
      <c r="Q7" s="450">
        <f t="shared" si="0"/>
        <v>46005</v>
      </c>
      <c r="R7" s="407">
        <f t="shared" si="0"/>
        <v>46006</v>
      </c>
      <c r="S7" s="407">
        <f t="shared" si="0"/>
        <v>46007</v>
      </c>
      <c r="T7" s="407">
        <f t="shared" si="0"/>
        <v>46008</v>
      </c>
      <c r="U7" s="407">
        <f t="shared" si="0"/>
        <v>46009</v>
      </c>
      <c r="V7" s="407">
        <f t="shared" si="0"/>
        <v>46010</v>
      </c>
      <c r="W7" s="407">
        <f t="shared" si="0"/>
        <v>46011</v>
      </c>
      <c r="X7" s="450">
        <f t="shared" si="0"/>
        <v>46012</v>
      </c>
      <c r="Y7" s="407">
        <f t="shared" si="0"/>
        <v>46013</v>
      </c>
      <c r="Z7" s="407">
        <f t="shared" si="0"/>
        <v>46014</v>
      </c>
      <c r="AA7" s="407">
        <f t="shared" si="0"/>
        <v>46015</v>
      </c>
      <c r="AB7" s="407">
        <f t="shared" si="0"/>
        <v>46016</v>
      </c>
      <c r="AC7" s="407">
        <f t="shared" si="0"/>
        <v>46017</v>
      </c>
      <c r="AD7" s="407">
        <f t="shared" si="0"/>
        <v>46018</v>
      </c>
      <c r="AE7" s="450">
        <f t="shared" si="0"/>
        <v>46019</v>
      </c>
      <c r="AF7" s="407">
        <f t="shared" si="0"/>
        <v>46020</v>
      </c>
      <c r="AG7" s="407">
        <f t="shared" si="0"/>
        <v>46021</v>
      </c>
      <c r="AH7" s="407">
        <f t="shared" si="0"/>
        <v>46022</v>
      </c>
      <c r="AI7" s="519"/>
      <c r="AJ7" s="522"/>
      <c r="AK7" s="522"/>
      <c r="AL7" s="525"/>
      <c r="AM7" s="522"/>
      <c r="AN7" s="522"/>
      <c r="AO7" s="502"/>
      <c r="AP7" s="516"/>
    </row>
    <row r="8" spans="1:50" s="406" customFormat="1" ht="21" customHeight="1">
      <c r="A8" s="499"/>
      <c r="B8" s="500"/>
      <c r="C8" s="499"/>
      <c r="D8" s="408" t="str">
        <f>IF("T"&amp;(WEEKDAY(D7))="T1","CN","T"&amp;(WEEKDAY(D7)))</f>
        <v>T2</v>
      </c>
      <c r="E8" s="408" t="str">
        <f t="shared" ref="E8:AH8" si="1">IF("T"&amp;(WEEKDAY(E7))="T1","CN","T"&amp;(WEEKDAY(E7)))</f>
        <v>T3</v>
      </c>
      <c r="F8" s="408" t="str">
        <f t="shared" si="1"/>
        <v>T4</v>
      </c>
      <c r="G8" s="408" t="str">
        <f t="shared" si="1"/>
        <v>T5</v>
      </c>
      <c r="H8" s="408" t="str">
        <f t="shared" si="1"/>
        <v>T6</v>
      </c>
      <c r="I8" s="408" t="str">
        <f t="shared" si="1"/>
        <v>T7</v>
      </c>
      <c r="J8" s="451" t="str">
        <f t="shared" si="1"/>
        <v>CN</v>
      </c>
      <c r="K8" s="408" t="str">
        <f t="shared" si="1"/>
        <v>T2</v>
      </c>
      <c r="L8" s="408" t="str">
        <f t="shared" si="1"/>
        <v>T3</v>
      </c>
      <c r="M8" s="408" t="str">
        <f>IF("T"&amp;(WEEKDAY(M7))="T1","CN","T"&amp;(WEEKDAY(M7)))</f>
        <v>T4</v>
      </c>
      <c r="N8" s="408" t="str">
        <f t="shared" si="1"/>
        <v>T5</v>
      </c>
      <c r="O8" s="408" t="str">
        <f t="shared" si="1"/>
        <v>T6</v>
      </c>
      <c r="P8" s="408" t="str">
        <f t="shared" si="1"/>
        <v>T7</v>
      </c>
      <c r="Q8" s="451" t="str">
        <f t="shared" si="1"/>
        <v>CN</v>
      </c>
      <c r="R8" s="408" t="str">
        <f t="shared" si="1"/>
        <v>T2</v>
      </c>
      <c r="S8" s="408" t="str">
        <f t="shared" si="1"/>
        <v>T3</v>
      </c>
      <c r="T8" s="408" t="str">
        <f t="shared" si="1"/>
        <v>T4</v>
      </c>
      <c r="U8" s="408" t="str">
        <f t="shared" si="1"/>
        <v>T5</v>
      </c>
      <c r="V8" s="408" t="str">
        <f t="shared" si="1"/>
        <v>T6</v>
      </c>
      <c r="W8" s="408" t="str">
        <f t="shared" si="1"/>
        <v>T7</v>
      </c>
      <c r="X8" s="451" t="str">
        <f t="shared" si="1"/>
        <v>CN</v>
      </c>
      <c r="Y8" s="408" t="str">
        <f t="shared" si="1"/>
        <v>T2</v>
      </c>
      <c r="Z8" s="408" t="str">
        <f t="shared" si="1"/>
        <v>T3</v>
      </c>
      <c r="AA8" s="408" t="str">
        <f t="shared" si="1"/>
        <v>T4</v>
      </c>
      <c r="AB8" s="408" t="str">
        <f t="shared" si="1"/>
        <v>T5</v>
      </c>
      <c r="AC8" s="408" t="str">
        <f t="shared" si="1"/>
        <v>T6</v>
      </c>
      <c r="AD8" s="408" t="str">
        <f t="shared" si="1"/>
        <v>T7</v>
      </c>
      <c r="AE8" s="451" t="str">
        <f t="shared" si="1"/>
        <v>CN</v>
      </c>
      <c r="AF8" s="408" t="str">
        <f t="shared" si="1"/>
        <v>T2</v>
      </c>
      <c r="AG8" s="408" t="str">
        <f t="shared" si="1"/>
        <v>T3</v>
      </c>
      <c r="AH8" s="408" t="str">
        <f t="shared" si="1"/>
        <v>T4</v>
      </c>
      <c r="AI8" s="520"/>
      <c r="AJ8" s="523"/>
      <c r="AK8" s="523"/>
      <c r="AL8" s="526"/>
      <c r="AM8" s="523"/>
      <c r="AN8" s="523"/>
      <c r="AO8" s="503"/>
      <c r="AP8" s="517"/>
    </row>
    <row r="9" spans="1:50" s="406" customFormat="1" ht="19.8" customHeight="1">
      <c r="A9" s="410">
        <v>1</v>
      </c>
      <c r="B9" s="406">
        <v>2</v>
      </c>
      <c r="C9" s="410">
        <v>3</v>
      </c>
      <c r="D9" s="410">
        <v>4</v>
      </c>
      <c r="E9" s="409">
        <v>5</v>
      </c>
      <c r="F9" s="409">
        <v>6</v>
      </c>
      <c r="G9" s="409">
        <v>7</v>
      </c>
      <c r="H9" s="409">
        <v>8</v>
      </c>
      <c r="I9" s="409">
        <v>9</v>
      </c>
      <c r="J9" s="452">
        <v>10</v>
      </c>
      <c r="K9" s="409">
        <v>11</v>
      </c>
      <c r="L9" s="409">
        <v>12</v>
      </c>
      <c r="M9" s="409">
        <v>13</v>
      </c>
      <c r="N9" s="409">
        <v>14</v>
      </c>
      <c r="O9" s="409">
        <v>15</v>
      </c>
      <c r="P9" s="409">
        <v>16</v>
      </c>
      <c r="Q9" s="452">
        <v>17</v>
      </c>
      <c r="R9" s="409">
        <v>18</v>
      </c>
      <c r="S9" s="409">
        <v>19</v>
      </c>
      <c r="T9" s="409">
        <v>20</v>
      </c>
      <c r="U9" s="409">
        <v>21</v>
      </c>
      <c r="V9" s="409">
        <v>22</v>
      </c>
      <c r="W9" s="409">
        <v>23</v>
      </c>
      <c r="X9" s="452">
        <v>24</v>
      </c>
      <c r="Y9" s="409">
        <v>25</v>
      </c>
      <c r="Z9" s="409">
        <v>26</v>
      </c>
      <c r="AA9" s="409">
        <v>27</v>
      </c>
      <c r="AB9" s="409">
        <v>28</v>
      </c>
      <c r="AC9" s="409">
        <v>29</v>
      </c>
      <c r="AD9" s="409">
        <v>30</v>
      </c>
      <c r="AE9" s="452">
        <v>31</v>
      </c>
      <c r="AF9" s="409">
        <v>32</v>
      </c>
      <c r="AG9" s="409">
        <v>33</v>
      </c>
      <c r="AH9" s="409">
        <v>34</v>
      </c>
      <c r="AI9" s="409">
        <v>35</v>
      </c>
      <c r="AJ9" s="409">
        <v>36</v>
      </c>
      <c r="AK9" s="409">
        <v>37</v>
      </c>
      <c r="AL9" s="409">
        <v>38</v>
      </c>
      <c r="AM9" s="409">
        <v>39</v>
      </c>
      <c r="AN9" s="409">
        <v>40</v>
      </c>
      <c r="AO9" s="409">
        <v>41</v>
      </c>
      <c r="AP9" s="409">
        <v>42</v>
      </c>
    </row>
    <row r="10" spans="1:50" s="414" customFormat="1" ht="18.75" customHeight="1">
      <c r="A10" s="527">
        <v>1</v>
      </c>
      <c r="B10" s="536" t="s">
        <v>266</v>
      </c>
      <c r="C10" s="537" t="s">
        <v>267</v>
      </c>
      <c r="D10" s="421" t="s">
        <v>224</v>
      </c>
      <c r="E10" s="421" t="s">
        <v>224</v>
      </c>
      <c r="F10" s="421" t="s">
        <v>224</v>
      </c>
      <c r="G10" s="455" t="s">
        <v>224</v>
      </c>
      <c r="H10" s="421" t="s">
        <v>224</v>
      </c>
      <c r="I10" s="421" t="s">
        <v>224</v>
      </c>
      <c r="J10" s="453" t="s">
        <v>224</v>
      </c>
      <c r="K10" s="421" t="s">
        <v>224</v>
      </c>
      <c r="L10" s="421" t="s">
        <v>224</v>
      </c>
      <c r="M10" s="421" t="s">
        <v>224</v>
      </c>
      <c r="N10" s="421" t="s">
        <v>224</v>
      </c>
      <c r="O10" s="455" t="s">
        <v>224</v>
      </c>
      <c r="P10" s="421" t="s">
        <v>224</v>
      </c>
      <c r="Q10" s="453" t="s">
        <v>242</v>
      </c>
      <c r="R10" s="421" t="s">
        <v>224</v>
      </c>
      <c r="S10" s="421" t="s">
        <v>224</v>
      </c>
      <c r="T10" s="421" t="s">
        <v>224</v>
      </c>
      <c r="U10" s="421" t="s">
        <v>224</v>
      </c>
      <c r="V10" s="421" t="s">
        <v>224</v>
      </c>
      <c r="W10" s="421" t="s">
        <v>224</v>
      </c>
      <c r="X10" s="453" t="s">
        <v>242</v>
      </c>
      <c r="Y10" s="421" t="s">
        <v>224</v>
      </c>
      <c r="Z10" s="421" t="s">
        <v>224</v>
      </c>
      <c r="AA10" s="421" t="s">
        <v>213</v>
      </c>
      <c r="AB10" s="421" t="s">
        <v>213</v>
      </c>
      <c r="AC10" s="421" t="s">
        <v>213</v>
      </c>
      <c r="AD10" s="421" t="s">
        <v>213</v>
      </c>
      <c r="AE10" s="453" t="s">
        <v>242</v>
      </c>
      <c r="AF10" s="421" t="s">
        <v>213</v>
      </c>
      <c r="AG10" s="421" t="s">
        <v>213</v>
      </c>
      <c r="AH10" s="421" t="s">
        <v>213</v>
      </c>
      <c r="AI10" s="411">
        <f>COUNTIF(D10:AH10,"p")+COUNTIF(D10:AH10,"1/p")/2+COUNTIF(D10:AH10,"CĐ")</f>
        <v>7</v>
      </c>
      <c r="AJ10" s="411">
        <f t="shared" ref="AJ10" si="2">COUNTIF(D10:AH10,"Ô")+COUNTIF(D10:AH10,"R")+COUNTIF(D10:AH10,"1/2")/2+COUNTIF(D10:AH10,"Ts")</f>
        <v>0</v>
      </c>
      <c r="AK10" s="411">
        <f>COUNTIF(D10:AH10,"Nb")+COUNTIF(D10:AH10,"L")+COUNTIF(D10:AH10,"T")+COUNTIF(D10:AH10,"1/LT")/2</f>
        <v>0</v>
      </c>
      <c r="AL10" s="412">
        <f>SUM(D11:AH11)</f>
        <v>0</v>
      </c>
      <c r="AM10" s="411">
        <f>COUNTIF(D10:AH10,"F1")+COUNTIF(D10:AH10,"1/F1")/2</f>
        <v>0</v>
      </c>
      <c r="AN10" s="411">
        <f t="shared" ref="AN10" si="3">COUNTIF(D10:AH10,"F")+COUNTIF(D10:AH10,"1/lt")/2</f>
        <v>0</v>
      </c>
      <c r="AO10" s="413">
        <f>COUNTIF(D10:AH10,"X")+COUNTIF(D10:AH10,"1/2")/2+COUNTIF(D10:AH10,"1/p")/2+COUNTIF(D10:AH10,"ĐH")</f>
        <v>21</v>
      </c>
      <c r="AP10" s="527"/>
    </row>
    <row r="11" spans="1:50" s="414" customFormat="1" ht="18.75" customHeight="1">
      <c r="A11" s="528"/>
      <c r="B11" s="533"/>
      <c r="C11" s="538"/>
      <c r="D11" s="427"/>
      <c r="E11" s="427"/>
      <c r="F11" s="427"/>
      <c r="G11" s="427"/>
      <c r="H11" s="427"/>
      <c r="I11" s="427"/>
      <c r="J11" s="454"/>
      <c r="K11" s="427"/>
      <c r="L11" s="427"/>
      <c r="M11" s="427"/>
      <c r="N11" s="427"/>
      <c r="O11" s="427"/>
      <c r="P11" s="427"/>
      <c r="Q11" s="454"/>
      <c r="R11" s="427"/>
      <c r="S11" s="427"/>
      <c r="T11" s="427"/>
      <c r="U11" s="427"/>
      <c r="V11" s="427"/>
      <c r="W11" s="427"/>
      <c r="X11" s="454"/>
      <c r="Y11" s="427"/>
      <c r="Z11" s="427"/>
      <c r="AA11" s="427"/>
      <c r="AB11" s="427"/>
      <c r="AC11" s="427"/>
      <c r="AD11" s="427"/>
      <c r="AE11" s="454"/>
      <c r="AF11" s="427"/>
      <c r="AG11" s="427"/>
      <c r="AH11" s="448"/>
      <c r="AI11" s="411">
        <f t="shared" ref="AI11:AI12" si="4">COUNTIF(D11:AH11,"p")+COUNTIF(D11:AH11,"1/p")/2+COUNTIF(D11:AH11,"CĐ")</f>
        <v>0</v>
      </c>
      <c r="AJ11" s="411"/>
      <c r="AK11" s="411"/>
      <c r="AL11" s="412"/>
      <c r="AM11" s="411"/>
      <c r="AN11" s="411"/>
      <c r="AO11" s="413"/>
      <c r="AP11" s="528"/>
    </row>
    <row r="12" spans="1:50" s="414" customFormat="1" ht="18.75" customHeight="1">
      <c r="A12" s="527">
        <v>3</v>
      </c>
      <c r="B12" s="529" t="s">
        <v>311</v>
      </c>
      <c r="C12" s="531" t="s">
        <v>268</v>
      </c>
      <c r="D12" s="421" t="s">
        <v>224</v>
      </c>
      <c r="E12" s="421" t="s">
        <v>224</v>
      </c>
      <c r="F12" s="421" t="s">
        <v>224</v>
      </c>
      <c r="G12" s="455" t="s">
        <v>224</v>
      </c>
      <c r="H12" s="421" t="s">
        <v>224</v>
      </c>
      <c r="I12" s="421" t="s">
        <v>224</v>
      </c>
      <c r="J12" s="453" t="s">
        <v>242</v>
      </c>
      <c r="K12" s="421" t="s">
        <v>224</v>
      </c>
      <c r="L12" s="421" t="s">
        <v>224</v>
      </c>
      <c r="M12" s="421" t="s">
        <v>224</v>
      </c>
      <c r="N12" s="421" t="s">
        <v>224</v>
      </c>
      <c r="O12" s="455" t="s">
        <v>224</v>
      </c>
      <c r="P12" s="421" t="s">
        <v>224</v>
      </c>
      <c r="Q12" s="453" t="s">
        <v>242</v>
      </c>
      <c r="R12" s="421" t="s">
        <v>224</v>
      </c>
      <c r="S12" s="421" t="s">
        <v>224</v>
      </c>
      <c r="T12" s="421" t="s">
        <v>224</v>
      </c>
      <c r="U12" s="421" t="s">
        <v>224</v>
      </c>
      <c r="V12" s="421" t="s">
        <v>224</v>
      </c>
      <c r="W12" s="421" t="s">
        <v>224</v>
      </c>
      <c r="X12" s="453" t="s">
        <v>242</v>
      </c>
      <c r="Y12" s="421" t="s">
        <v>224</v>
      </c>
      <c r="Z12" s="421" t="s">
        <v>224</v>
      </c>
      <c r="AA12" s="421" t="s">
        <v>224</v>
      </c>
      <c r="AB12" s="421" t="s">
        <v>224</v>
      </c>
      <c r="AC12" s="421" t="s">
        <v>224</v>
      </c>
      <c r="AD12" s="421" t="s">
        <v>224</v>
      </c>
      <c r="AE12" s="453" t="s">
        <v>242</v>
      </c>
      <c r="AF12" s="421" t="s">
        <v>224</v>
      </c>
      <c r="AG12" s="421" t="s">
        <v>224</v>
      </c>
      <c r="AH12" s="421" t="s">
        <v>224</v>
      </c>
      <c r="AI12" s="411">
        <f t="shared" si="4"/>
        <v>0</v>
      </c>
      <c r="AJ12" s="411">
        <f t="shared" ref="AJ12" si="5">COUNTIF(D12:AH12,"Ô")+COUNTIF(D12:AH12,"R")+COUNTIF(D12:AH12,"1/2")/2+COUNTIF(D12:AH12,"Ts")</f>
        <v>0</v>
      </c>
      <c r="AK12" s="411">
        <f t="shared" ref="AK12" si="6">COUNTIF(D12:AH12,"Nb")+COUNTIF(D12:AH12,"L")+COUNTIF(D12:AH12,"T")+COUNTIF(D12:AH12,"1/LT")/2</f>
        <v>0</v>
      </c>
      <c r="AL12" s="412">
        <f t="shared" ref="AL12" si="7">SUM(D13:AH13)</f>
        <v>0</v>
      </c>
      <c r="AM12" s="411">
        <f t="shared" ref="AM12" si="8">COUNTIF(D12:AH12,"F1")+COUNTIF(D12:AH12,"1/F1")/2</f>
        <v>0</v>
      </c>
      <c r="AN12" s="411">
        <f t="shared" ref="AN12" si="9">COUNTIF(D12:AH12,"F")+COUNTIF(D12:AH12,"1/lt")/2</f>
        <v>0</v>
      </c>
      <c r="AO12" s="413">
        <f t="shared" ref="AO12" si="10">COUNTIF(D12:AH12,"X")+COUNTIF(D12:AH12,"1/2")/2+COUNTIF(D12:AH12,"1/p")/2+COUNTIF(D12:AH12,"ĐH")</f>
        <v>27</v>
      </c>
      <c r="AP12" s="527"/>
    </row>
    <row r="13" spans="1:50" s="414" customFormat="1" ht="18.75" customHeight="1">
      <c r="A13" s="528"/>
      <c r="B13" s="530"/>
      <c r="C13" s="531"/>
      <c r="D13" s="427"/>
      <c r="E13" s="427"/>
      <c r="F13" s="427"/>
      <c r="G13" s="427"/>
      <c r="H13" s="427"/>
      <c r="I13" s="427"/>
      <c r="J13" s="454"/>
      <c r="K13" s="427"/>
      <c r="L13" s="427"/>
      <c r="M13" s="427"/>
      <c r="N13" s="427"/>
      <c r="O13" s="427"/>
      <c r="P13" s="427"/>
      <c r="Q13" s="454"/>
      <c r="R13" s="427"/>
      <c r="S13" s="427"/>
      <c r="T13" s="427"/>
      <c r="U13" s="427"/>
      <c r="V13" s="427"/>
      <c r="W13" s="427"/>
      <c r="X13" s="454"/>
      <c r="Y13" s="427"/>
      <c r="Z13" s="427"/>
      <c r="AA13" s="427"/>
      <c r="AB13" s="427"/>
      <c r="AC13" s="427"/>
      <c r="AD13" s="427"/>
      <c r="AE13" s="454"/>
      <c r="AF13" s="427"/>
      <c r="AG13" s="427"/>
      <c r="AH13" s="427"/>
      <c r="AI13" s="411"/>
      <c r="AJ13" s="411"/>
      <c r="AK13" s="411"/>
      <c r="AL13" s="412"/>
      <c r="AM13" s="411"/>
      <c r="AN13" s="411"/>
      <c r="AO13" s="413"/>
      <c r="AP13" s="528"/>
    </row>
    <row r="14" spans="1:50" s="414" customFormat="1" ht="18.75" customHeight="1">
      <c r="A14" s="527">
        <v>4</v>
      </c>
      <c r="B14" s="532" t="s">
        <v>261</v>
      </c>
      <c r="C14" s="527" t="s">
        <v>269</v>
      </c>
      <c r="D14" s="421" t="s">
        <v>224</v>
      </c>
      <c r="E14" s="421" t="s">
        <v>224</v>
      </c>
      <c r="F14" s="421" t="s">
        <v>224</v>
      </c>
      <c r="G14" s="455" t="s">
        <v>224</v>
      </c>
      <c r="H14" s="421" t="s">
        <v>224</v>
      </c>
      <c r="I14" s="421" t="s">
        <v>224</v>
      </c>
      <c r="J14" s="453" t="s">
        <v>242</v>
      </c>
      <c r="K14" s="421" t="s">
        <v>224</v>
      </c>
      <c r="L14" s="421" t="s">
        <v>224</v>
      </c>
      <c r="M14" s="421" t="s">
        <v>224</v>
      </c>
      <c r="N14" s="421" t="s">
        <v>219</v>
      </c>
      <c r="O14" s="421" t="s">
        <v>219</v>
      </c>
      <c r="P14" s="421" t="s">
        <v>219</v>
      </c>
      <c r="Q14" s="453" t="s">
        <v>242</v>
      </c>
      <c r="R14" s="421" t="s">
        <v>219</v>
      </c>
      <c r="S14" s="421" t="s">
        <v>219</v>
      </c>
      <c r="T14" s="421" t="s">
        <v>219</v>
      </c>
      <c r="U14" s="421" t="s">
        <v>219</v>
      </c>
      <c r="V14" s="421" t="s">
        <v>219</v>
      </c>
      <c r="W14" s="421" t="s">
        <v>219</v>
      </c>
      <c r="X14" s="453" t="s">
        <v>242</v>
      </c>
      <c r="Y14" s="421" t="s">
        <v>219</v>
      </c>
      <c r="Z14" s="421" t="s">
        <v>219</v>
      </c>
      <c r="AA14" s="421" t="s">
        <v>219</v>
      </c>
      <c r="AB14" s="421" t="s">
        <v>219</v>
      </c>
      <c r="AC14" s="421" t="s">
        <v>219</v>
      </c>
      <c r="AD14" s="421" t="s">
        <v>219</v>
      </c>
      <c r="AE14" s="453" t="s">
        <v>242</v>
      </c>
      <c r="AF14" s="421" t="s">
        <v>219</v>
      </c>
      <c r="AG14" s="421" t="s">
        <v>224</v>
      </c>
      <c r="AH14" s="421" t="s">
        <v>224</v>
      </c>
      <c r="AI14" s="411">
        <f>COUNTIF(D14:AH14,"p")+COUNTIF(D14:AH14,"1/p")/2+COUNTIF(D14:AH14,"CĐ")</f>
        <v>0</v>
      </c>
      <c r="AJ14" s="411">
        <f t="shared" ref="AJ14" si="11">COUNTIF(D14:AH14,"Ô")+COUNTIF(D14:AH14,"R")+COUNTIF(D14:AH14,"1/2")/2+COUNTIF(D14:AH14,"Ts")</f>
        <v>16</v>
      </c>
      <c r="AK14" s="411">
        <f t="shared" ref="AK14" si="12">COUNTIF(D14:AH14,"Nb")+COUNTIF(D14:AH14,"L")+COUNTIF(D14:AH14,"T")+COUNTIF(D14:AH14,"1/LT")/2</f>
        <v>0</v>
      </c>
      <c r="AL14" s="412">
        <f>SUM(D15:AH15)</f>
        <v>0</v>
      </c>
      <c r="AM14" s="411">
        <f>COUNTIF(D14:AH14,"F1")+COUNTIF(D14:AH14,"1/F1")/2</f>
        <v>0</v>
      </c>
      <c r="AN14" s="411">
        <f t="shared" ref="AN14" si="13">COUNTIF(D14:AH14,"F")+COUNTIF(D14:AH14,"1/lt")/2</f>
        <v>0</v>
      </c>
      <c r="AO14" s="413">
        <f>COUNTIF(D14:AH14,"X")+COUNTIF(D14:AH14,"1/2")/2+COUNTIF(D14:AH14,"1/p")/2+COUNTIF(D14:AH14,"ĐH")</f>
        <v>11</v>
      </c>
      <c r="AP14" s="527"/>
    </row>
    <row r="15" spans="1:50" s="414" customFormat="1" ht="18.75" customHeight="1">
      <c r="A15" s="528"/>
      <c r="B15" s="533"/>
      <c r="C15" s="528"/>
      <c r="D15" s="427"/>
      <c r="E15" s="421"/>
      <c r="F15" s="421"/>
      <c r="G15" s="427"/>
      <c r="H15" s="427"/>
      <c r="I15" s="427"/>
      <c r="J15" s="454"/>
      <c r="K15" s="427"/>
      <c r="L15" s="421"/>
      <c r="M15" s="421"/>
      <c r="N15" s="427"/>
      <c r="O15" s="421"/>
      <c r="P15" s="421"/>
      <c r="Q15" s="454"/>
      <c r="R15" s="427"/>
      <c r="S15" s="421"/>
      <c r="T15" s="421"/>
      <c r="U15" s="427"/>
      <c r="V15" s="427"/>
      <c r="W15" s="421"/>
      <c r="X15" s="454"/>
      <c r="Y15" s="427"/>
      <c r="Z15" s="421"/>
      <c r="AA15" s="421"/>
      <c r="AB15" s="427"/>
      <c r="AC15" s="427"/>
      <c r="AD15" s="421"/>
      <c r="AE15" s="454"/>
      <c r="AF15" s="427"/>
      <c r="AG15" s="421"/>
      <c r="AH15" s="421"/>
      <c r="AI15" s="411"/>
      <c r="AJ15" s="411"/>
      <c r="AK15" s="411"/>
      <c r="AL15" s="412"/>
      <c r="AM15" s="411"/>
      <c r="AN15" s="411"/>
      <c r="AO15" s="413"/>
      <c r="AP15" s="528"/>
    </row>
    <row r="16" spans="1:50" s="414" customFormat="1" ht="18.75" customHeight="1">
      <c r="A16" s="527">
        <v>5</v>
      </c>
      <c r="B16" s="532" t="s">
        <v>332</v>
      </c>
      <c r="C16" s="527" t="s">
        <v>269</v>
      </c>
      <c r="D16" s="421"/>
      <c r="E16" s="421"/>
      <c r="F16" s="421"/>
      <c r="G16" s="421"/>
      <c r="H16" s="421"/>
      <c r="I16" s="421"/>
      <c r="J16" s="453"/>
      <c r="K16" s="421"/>
      <c r="L16" s="421"/>
      <c r="M16" s="421"/>
      <c r="N16" s="421"/>
      <c r="O16" s="421" t="s">
        <v>224</v>
      </c>
      <c r="P16" s="421" t="s">
        <v>224</v>
      </c>
      <c r="Q16" s="453" t="s">
        <v>242</v>
      </c>
      <c r="R16" s="421" t="s">
        <v>224</v>
      </c>
      <c r="S16" s="421" t="s">
        <v>224</v>
      </c>
      <c r="T16" s="421" t="s">
        <v>224</v>
      </c>
      <c r="U16" s="421" t="s">
        <v>224</v>
      </c>
      <c r="V16" s="421" t="s">
        <v>224</v>
      </c>
      <c r="W16" s="421" t="s">
        <v>224</v>
      </c>
      <c r="X16" s="453" t="s">
        <v>242</v>
      </c>
      <c r="Y16" s="421" t="s">
        <v>224</v>
      </c>
      <c r="Z16" s="421" t="s">
        <v>224</v>
      </c>
      <c r="AA16" s="421" t="s">
        <v>224</v>
      </c>
      <c r="AB16" s="421"/>
      <c r="AC16" s="421"/>
      <c r="AD16" s="421"/>
      <c r="AE16" s="453" t="s">
        <v>242</v>
      </c>
      <c r="AF16" s="421"/>
      <c r="AG16" s="421"/>
      <c r="AH16" s="421"/>
      <c r="AI16" s="411">
        <f t="shared" ref="AI16" si="14">COUNTIF(D16:AH16,"p")+COUNTIF(D16:AH16,"1/p")/2+COUNTIF(D16:AH16,"CĐ")</f>
        <v>0</v>
      </c>
      <c r="AJ16" s="411">
        <f t="shared" ref="AJ16" si="15">COUNTIF(D16:AH16,"Ô")+COUNTIF(D16:AH16,"R")+COUNTIF(D16:AH16,"1/2")/2+COUNTIF(D16:AH16,"Ts")</f>
        <v>0</v>
      </c>
      <c r="AK16" s="411">
        <f t="shared" ref="AK16" si="16">COUNTIF(D16:AH16,"Nb")+COUNTIF(D16:AH16,"L")+COUNTIF(D16:AH16,"T")+COUNTIF(D16:AH16,"1/LT")/2</f>
        <v>0</v>
      </c>
      <c r="AL16" s="412">
        <f t="shared" ref="AL16" si="17">SUM(D17:AH17)</f>
        <v>0</v>
      </c>
      <c r="AM16" s="411">
        <f t="shared" ref="AM16" si="18">COUNTIF(D16:AH16,"F1")+COUNTIF(D16:AH16,"1/F1")/2</f>
        <v>0</v>
      </c>
      <c r="AN16" s="411">
        <f t="shared" ref="AN16" si="19">COUNTIF(D16:AH16,"F")+COUNTIF(D16:AH16,"1/lt")/2</f>
        <v>0</v>
      </c>
      <c r="AO16" s="413">
        <f t="shared" ref="AO16" si="20">COUNTIF(D16:AH16,"X")+COUNTIF(D16:AH16,"1/2")/2+COUNTIF(D16:AH16,"1/p")/2+COUNTIF(D16:AH16,"ĐH")</f>
        <v>11</v>
      </c>
      <c r="AP16" s="527"/>
    </row>
    <row r="17" spans="1:42" s="414" customFormat="1" ht="18.75" customHeight="1">
      <c r="A17" s="528"/>
      <c r="B17" s="533"/>
      <c r="C17" s="528"/>
      <c r="D17" s="427"/>
      <c r="E17" s="421"/>
      <c r="F17" s="421"/>
      <c r="G17" s="427"/>
      <c r="H17" s="427"/>
      <c r="I17" s="427"/>
      <c r="J17" s="454"/>
      <c r="K17" s="427"/>
      <c r="L17" s="421"/>
      <c r="M17" s="421"/>
      <c r="N17" s="427"/>
      <c r="O17" s="421"/>
      <c r="P17" s="421"/>
      <c r="Q17" s="454"/>
      <c r="R17" s="427"/>
      <c r="S17" s="421"/>
      <c r="T17" s="421"/>
      <c r="U17" s="427"/>
      <c r="V17" s="427"/>
      <c r="W17" s="421"/>
      <c r="X17" s="454"/>
      <c r="Y17" s="427"/>
      <c r="Z17" s="421"/>
      <c r="AA17" s="421"/>
      <c r="AB17" s="427"/>
      <c r="AC17" s="427"/>
      <c r="AD17" s="421"/>
      <c r="AE17" s="454"/>
      <c r="AF17" s="427"/>
      <c r="AG17" s="421"/>
      <c r="AH17" s="421"/>
      <c r="AI17" s="411"/>
      <c r="AJ17" s="411"/>
      <c r="AK17" s="411"/>
      <c r="AL17" s="412"/>
      <c r="AM17" s="411"/>
      <c r="AN17" s="411"/>
      <c r="AO17" s="413"/>
      <c r="AP17" s="528"/>
    </row>
    <row r="18" spans="1:42" s="414" customFormat="1" ht="18.75" customHeight="1">
      <c r="A18" s="527">
        <v>6</v>
      </c>
      <c r="B18" s="532" t="s">
        <v>292</v>
      </c>
      <c r="C18" s="527" t="s">
        <v>270</v>
      </c>
      <c r="D18" s="421" t="s">
        <v>224</v>
      </c>
      <c r="E18" s="421" t="s">
        <v>224</v>
      </c>
      <c r="F18" s="421" t="s">
        <v>224</v>
      </c>
      <c r="G18" s="455" t="s">
        <v>224</v>
      </c>
      <c r="H18" s="421" t="s">
        <v>224</v>
      </c>
      <c r="I18" s="421" t="s">
        <v>224</v>
      </c>
      <c r="J18" s="453" t="s">
        <v>242</v>
      </c>
      <c r="K18" s="421" t="s">
        <v>224</v>
      </c>
      <c r="L18" s="421" t="s">
        <v>224</v>
      </c>
      <c r="M18" s="421" t="s">
        <v>224</v>
      </c>
      <c r="N18" s="421" t="s">
        <v>224</v>
      </c>
      <c r="O18" s="455" t="s">
        <v>224</v>
      </c>
      <c r="P18" s="421" t="s">
        <v>224</v>
      </c>
      <c r="Q18" s="453" t="s">
        <v>242</v>
      </c>
      <c r="R18" s="421" t="s">
        <v>213</v>
      </c>
      <c r="S18" s="421" t="s">
        <v>213</v>
      </c>
      <c r="T18" s="421" t="s">
        <v>213</v>
      </c>
      <c r="U18" s="421" t="s">
        <v>224</v>
      </c>
      <c r="V18" s="421" t="s">
        <v>224</v>
      </c>
      <c r="W18" s="421" t="s">
        <v>224</v>
      </c>
      <c r="X18" s="453" t="s">
        <v>242</v>
      </c>
      <c r="Y18" s="421" t="s">
        <v>224</v>
      </c>
      <c r="Z18" s="421" t="s">
        <v>224</v>
      </c>
      <c r="AA18" s="421" t="s">
        <v>224</v>
      </c>
      <c r="AB18" s="421" t="s">
        <v>224</v>
      </c>
      <c r="AC18" s="421" t="s">
        <v>224</v>
      </c>
      <c r="AD18" s="421" t="s">
        <v>224</v>
      </c>
      <c r="AE18" s="453" t="s">
        <v>242</v>
      </c>
      <c r="AF18" s="421" t="s">
        <v>224</v>
      </c>
      <c r="AG18" s="421" t="s">
        <v>224</v>
      </c>
      <c r="AH18" s="421" t="s">
        <v>224</v>
      </c>
      <c r="AI18" s="411">
        <f t="shared" ref="AI18" si="21">COUNTIF(D18:AH18,"p")+COUNTIF(D18:AH18,"1/p")/2+COUNTIF(D18:AH18,"CĐ")</f>
        <v>3</v>
      </c>
      <c r="AJ18" s="411">
        <f t="shared" ref="AJ18" si="22">COUNTIF(D18:AH18,"Ô")+COUNTIF(D18:AH18,"R")+COUNTIF(D18:AH18,"1/2")/2+COUNTIF(D18:AH18,"Ts")</f>
        <v>0</v>
      </c>
      <c r="AK18" s="411">
        <f>COUNTIF(D18:AH18,"Nb")+COUNTIF(D18:AH18,"L")+COUNTIF(D18:AH18,"T")+COUNTIF(D18:AH18,"1/LT")/2</f>
        <v>0</v>
      </c>
      <c r="AL18" s="412">
        <f t="shared" ref="AL18:AL20" si="23">SUM(D19:AH19)</f>
        <v>0</v>
      </c>
      <c r="AM18" s="411">
        <f t="shared" ref="AM18" si="24">COUNTIF(D18:AH18,"F1")+COUNTIF(D18:AH18,"1/F1")/2</f>
        <v>0</v>
      </c>
      <c r="AN18" s="411">
        <f t="shared" ref="AN18" si="25">COUNTIF(D18:AH18,"F")+COUNTIF(D18:AH18,"1/lt")/2</f>
        <v>0</v>
      </c>
      <c r="AO18" s="413">
        <f>COUNTIF(D18:AH18,"X")+COUNTIF(D18:AH18,"1/2")/2+COUNTIF(D18:AH18,"1/p")/2+COUNTIF(D18:AH18,"ĐH")</f>
        <v>24</v>
      </c>
      <c r="AP18" s="527"/>
    </row>
    <row r="19" spans="1:42" s="414" customFormat="1" ht="18.75" customHeight="1">
      <c r="A19" s="528"/>
      <c r="B19" s="533"/>
      <c r="C19" s="528"/>
      <c r="D19" s="427"/>
      <c r="E19" s="421"/>
      <c r="F19" s="421"/>
      <c r="G19" s="427"/>
      <c r="H19" s="427"/>
      <c r="I19" s="427"/>
      <c r="J19" s="454"/>
      <c r="K19" s="427"/>
      <c r="L19" s="421"/>
      <c r="M19" s="427"/>
      <c r="N19" s="427"/>
      <c r="O19" s="427"/>
      <c r="P19" s="427"/>
      <c r="Q19" s="454"/>
      <c r="R19" s="427"/>
      <c r="S19" s="421"/>
      <c r="T19" s="427"/>
      <c r="U19" s="427"/>
      <c r="V19" s="427"/>
      <c r="W19" s="427"/>
      <c r="X19" s="454"/>
      <c r="Y19" s="427"/>
      <c r="Z19" s="421"/>
      <c r="AA19" s="427"/>
      <c r="AB19" s="427"/>
      <c r="AC19" s="427"/>
      <c r="AD19" s="427"/>
      <c r="AE19" s="454"/>
      <c r="AF19" s="427"/>
      <c r="AG19" s="421"/>
      <c r="AH19" s="427"/>
      <c r="AI19" s="411"/>
      <c r="AJ19" s="411"/>
      <c r="AK19" s="411"/>
      <c r="AL19" s="412"/>
      <c r="AM19" s="411"/>
      <c r="AN19" s="411"/>
      <c r="AO19" s="413"/>
      <c r="AP19" s="528"/>
    </row>
    <row r="20" spans="1:42" s="414" customFormat="1" ht="18.75" customHeight="1">
      <c r="A20" s="527">
        <v>7</v>
      </c>
      <c r="B20" s="532" t="s">
        <v>304</v>
      </c>
      <c r="C20" s="527" t="s">
        <v>274</v>
      </c>
      <c r="D20" s="421" t="s">
        <v>224</v>
      </c>
      <c r="E20" s="421" t="s">
        <v>224</v>
      </c>
      <c r="F20" s="421" t="s">
        <v>224</v>
      </c>
      <c r="G20" s="455" t="s">
        <v>224</v>
      </c>
      <c r="H20" s="421" t="s">
        <v>224</v>
      </c>
      <c r="I20" s="421" t="s">
        <v>224</v>
      </c>
      <c r="J20" s="453" t="s">
        <v>242</v>
      </c>
      <c r="K20" s="421" t="s">
        <v>224</v>
      </c>
      <c r="L20" s="421" t="s">
        <v>224</v>
      </c>
      <c r="M20" s="421" t="s">
        <v>224</v>
      </c>
      <c r="N20" s="421" t="s">
        <v>224</v>
      </c>
      <c r="O20" s="455" t="s">
        <v>224</v>
      </c>
      <c r="P20" s="421" t="s">
        <v>224</v>
      </c>
      <c r="Q20" s="453" t="s">
        <v>242</v>
      </c>
      <c r="R20" s="421" t="s">
        <v>224</v>
      </c>
      <c r="S20" s="421" t="s">
        <v>224</v>
      </c>
      <c r="T20" s="421" t="s">
        <v>224</v>
      </c>
      <c r="U20" s="421" t="s">
        <v>224</v>
      </c>
      <c r="V20" s="421" t="s">
        <v>224</v>
      </c>
      <c r="W20" s="421" t="s">
        <v>224</v>
      </c>
      <c r="X20" s="453" t="s">
        <v>242</v>
      </c>
      <c r="Y20" s="421" t="s">
        <v>224</v>
      </c>
      <c r="Z20" s="421" t="s">
        <v>224</v>
      </c>
      <c r="AA20" s="421" t="s">
        <v>224</v>
      </c>
      <c r="AB20" s="421" t="s">
        <v>224</v>
      </c>
      <c r="AC20" s="421" t="s">
        <v>224</v>
      </c>
      <c r="AD20" s="421" t="s">
        <v>224</v>
      </c>
      <c r="AE20" s="453" t="s">
        <v>242</v>
      </c>
      <c r="AF20" s="421" t="s">
        <v>224</v>
      </c>
      <c r="AG20" s="421" t="s">
        <v>224</v>
      </c>
      <c r="AH20" s="421" t="s">
        <v>224</v>
      </c>
      <c r="AI20" s="411">
        <f t="shared" ref="AI20" si="26">COUNTIF(D20:AH20,"p")+COUNTIF(D20:AH20,"1/p")/2+COUNTIF(D20:AH20,"CĐ")</f>
        <v>0</v>
      </c>
      <c r="AJ20" s="411">
        <f t="shared" ref="AJ20" si="27">COUNTIF(D20:AH20,"Ô")+COUNTIF(D20:AH20,"R")+COUNTIF(D20:AH20,"1/2")/2+COUNTIF(D20:AH20,"Ts")</f>
        <v>0</v>
      </c>
      <c r="AK20" s="411">
        <f t="shared" ref="AK20" si="28">COUNTIF(D20:AH20,"Nb")+COUNTIF(D20:AH20,"L")+COUNTIF(D20:AH20,"T")+COUNTIF(D20:AH20,"1/LT")/2</f>
        <v>0</v>
      </c>
      <c r="AL20" s="412">
        <f t="shared" si="23"/>
        <v>0</v>
      </c>
      <c r="AM20" s="411">
        <f t="shared" ref="AM20" si="29">COUNTIF(D20:AH20,"F1")+COUNTIF(D20:AH20,"1/F1")/2</f>
        <v>0</v>
      </c>
      <c r="AN20" s="411">
        <f t="shared" ref="AN20" si="30">COUNTIF(D20:AH20,"F")+COUNTIF(D20:AH20,"1/lt")/2</f>
        <v>0</v>
      </c>
      <c r="AO20" s="413">
        <f>COUNTIF(D20:AH20,"X")+COUNTIF(D20:AH20,"1/2")/2+COUNTIF(D20:AH20,"1/p")/2+COUNTIF(D20:AH20,"ĐH")</f>
        <v>27</v>
      </c>
      <c r="AP20" s="534"/>
    </row>
    <row r="21" spans="1:42" s="414" customFormat="1" ht="18.75" customHeight="1">
      <c r="A21" s="528"/>
      <c r="B21" s="533"/>
      <c r="C21" s="528"/>
      <c r="D21" s="442"/>
      <c r="E21" s="427"/>
      <c r="F21" s="427"/>
      <c r="G21" s="427"/>
      <c r="H21" s="427"/>
      <c r="I21" s="427"/>
      <c r="J21" s="454"/>
      <c r="K21" s="427"/>
      <c r="L21" s="427"/>
      <c r="M21" s="427"/>
      <c r="N21" s="427"/>
      <c r="O21" s="427"/>
      <c r="P21" s="427"/>
      <c r="Q21" s="454"/>
      <c r="R21" s="427"/>
      <c r="S21" s="427"/>
      <c r="T21" s="427"/>
      <c r="U21" s="427"/>
      <c r="V21" s="427"/>
      <c r="W21" s="449"/>
      <c r="X21" s="454"/>
      <c r="Y21" s="427"/>
      <c r="Z21" s="427"/>
      <c r="AA21" s="427"/>
      <c r="AB21" s="427"/>
      <c r="AC21" s="427"/>
      <c r="AD21" s="427"/>
      <c r="AE21" s="454"/>
      <c r="AF21" s="427"/>
      <c r="AG21" s="427"/>
      <c r="AH21" s="422"/>
      <c r="AI21" s="411"/>
      <c r="AJ21" s="411"/>
      <c r="AK21" s="411"/>
      <c r="AL21" s="412"/>
      <c r="AM21" s="411"/>
      <c r="AN21" s="411"/>
      <c r="AO21" s="413"/>
      <c r="AP21" s="535"/>
    </row>
    <row r="22" spans="1:42" s="414" customFormat="1" ht="19.5" customHeight="1">
      <c r="A22" s="527">
        <v>8</v>
      </c>
      <c r="B22" s="539" t="s">
        <v>327</v>
      </c>
      <c r="C22" s="541" t="s">
        <v>322</v>
      </c>
      <c r="D22" s="421" t="s">
        <v>242</v>
      </c>
      <c r="E22" s="421" t="s">
        <v>224</v>
      </c>
      <c r="F22" s="421"/>
      <c r="G22" s="455" t="s">
        <v>224</v>
      </c>
      <c r="H22" s="421" t="s">
        <v>224</v>
      </c>
      <c r="I22" s="421" t="s">
        <v>224</v>
      </c>
      <c r="J22" s="453" t="s">
        <v>224</v>
      </c>
      <c r="K22" s="421" t="s">
        <v>242</v>
      </c>
      <c r="L22" s="421" t="s">
        <v>224</v>
      </c>
      <c r="M22" s="421" t="s">
        <v>224</v>
      </c>
      <c r="N22" s="421" t="s">
        <v>224</v>
      </c>
      <c r="O22" s="455" t="s">
        <v>224</v>
      </c>
      <c r="P22" s="421" t="s">
        <v>224</v>
      </c>
      <c r="Q22" s="453" t="s">
        <v>224</v>
      </c>
      <c r="R22" s="421" t="s">
        <v>242</v>
      </c>
      <c r="S22" s="421" t="s">
        <v>224</v>
      </c>
      <c r="T22" s="421" t="s">
        <v>224</v>
      </c>
      <c r="U22" s="421" t="s">
        <v>224</v>
      </c>
      <c r="V22" s="421" t="s">
        <v>224</v>
      </c>
      <c r="W22" s="421" t="s">
        <v>224</v>
      </c>
      <c r="X22" s="453" t="s">
        <v>224</v>
      </c>
      <c r="Y22" s="421" t="s">
        <v>242</v>
      </c>
      <c r="Z22" s="421" t="s">
        <v>224</v>
      </c>
      <c r="AA22" s="421" t="s">
        <v>224</v>
      </c>
      <c r="AB22" s="421" t="s">
        <v>224</v>
      </c>
      <c r="AC22" s="421" t="s">
        <v>224</v>
      </c>
      <c r="AD22" s="421" t="s">
        <v>224</v>
      </c>
      <c r="AE22" s="453" t="s">
        <v>224</v>
      </c>
      <c r="AF22" s="421" t="s">
        <v>242</v>
      </c>
      <c r="AG22" s="421" t="s">
        <v>224</v>
      </c>
      <c r="AH22" s="421" t="s">
        <v>224</v>
      </c>
      <c r="AI22" s="411">
        <f>COUNTIF(D22:AH22,"p")+COUNTIF(D22:AH22,"1/p")/2+COUNTIF(D22:AH22,"CĐ")</f>
        <v>0</v>
      </c>
      <c r="AJ22" s="411">
        <f>COUNTIF(D22:AH22,"Ô")+COUNTIF(D22:AH22,"R")+COUNTIF(D22:AH22,"1/2")/2+COUNTIF(D22:AH22,"Ts")</f>
        <v>0</v>
      </c>
      <c r="AK22" s="411">
        <f>COUNTIF(D22:AH22,"Nb")+COUNTIF(D22:AH22,"L")+COUNTIF(D22:AH22,"T")+COUNTIF(D22:AH22,"1/LT")/2</f>
        <v>0</v>
      </c>
      <c r="AL22" s="412">
        <f>SUM(D23:AH23)</f>
        <v>0</v>
      </c>
      <c r="AM22" s="411">
        <f>COUNTIF(D22:AH22,"F1")+COUNTIF(D22:AH22,"1/F1")/2</f>
        <v>0</v>
      </c>
      <c r="AN22" s="411">
        <f>COUNTIF(D22:AH22,"F")+COUNTIF(D22:AH22,"1/lt")/2</f>
        <v>0</v>
      </c>
      <c r="AO22" s="413">
        <f>COUNTIF(D22:AH22,"X")+COUNTIF(D22:AH22,"1/2")/2+COUNTIF(D22:AH22,"1/p")/2+COUNTIF(D22:AH22,"ĐH")</f>
        <v>25</v>
      </c>
      <c r="AP22" s="527"/>
    </row>
    <row r="23" spans="1:42" s="414" customFormat="1" ht="19.5" customHeight="1">
      <c r="A23" s="528"/>
      <c r="B23" s="540"/>
      <c r="C23" s="542"/>
      <c r="D23" s="421"/>
      <c r="E23" s="421"/>
      <c r="F23" s="421"/>
      <c r="G23" s="421"/>
      <c r="H23" s="421"/>
      <c r="I23" s="421"/>
      <c r="J23" s="453"/>
      <c r="K23" s="421"/>
      <c r="L23" s="421"/>
      <c r="M23" s="421"/>
      <c r="N23" s="421"/>
      <c r="O23" s="421"/>
      <c r="P23" s="421"/>
      <c r="Q23" s="453"/>
      <c r="R23" s="421"/>
      <c r="S23" s="421"/>
      <c r="T23" s="421"/>
      <c r="U23" s="421"/>
      <c r="V23" s="421"/>
      <c r="W23" s="449"/>
      <c r="X23" s="454"/>
      <c r="Y23" s="427"/>
      <c r="Z23" s="427"/>
      <c r="AA23" s="427"/>
      <c r="AB23" s="427"/>
      <c r="AC23" s="427"/>
      <c r="AD23" s="427"/>
      <c r="AE23" s="454"/>
      <c r="AF23" s="427"/>
      <c r="AG23" s="427"/>
      <c r="AH23" s="422"/>
      <c r="AI23" s="411"/>
      <c r="AJ23" s="411"/>
      <c r="AK23" s="411"/>
      <c r="AL23" s="412"/>
      <c r="AM23" s="411"/>
      <c r="AN23" s="411"/>
      <c r="AO23" s="413"/>
      <c r="AP23" s="528"/>
    </row>
    <row r="24" spans="1:42" s="414" customFormat="1" ht="42.75" customHeight="1">
      <c r="A24" s="543" t="s">
        <v>202</v>
      </c>
      <c r="B24" s="544"/>
      <c r="C24" s="545"/>
      <c r="D24" s="546"/>
      <c r="E24" s="547"/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  <c r="AA24" s="547"/>
      <c r="AB24" s="547"/>
      <c r="AC24" s="547"/>
      <c r="AD24" s="547"/>
      <c r="AE24" s="547"/>
      <c r="AF24" s="547"/>
      <c r="AG24" s="547"/>
      <c r="AH24" s="547"/>
      <c r="AI24" s="547"/>
      <c r="AJ24" s="547"/>
      <c r="AK24" s="547"/>
      <c r="AL24" s="547"/>
      <c r="AM24" s="547"/>
      <c r="AN24" s="547"/>
      <c r="AO24" s="548"/>
      <c r="AP24" s="421"/>
    </row>
    <row r="25" spans="1:42" s="414" customFormat="1" ht="20.25" customHeight="1">
      <c r="A25" s="83"/>
      <c r="B25" s="28" t="s">
        <v>306</v>
      </c>
      <c r="C25" s="378"/>
      <c r="D25" s="378"/>
      <c r="E25" s="378"/>
      <c r="F25" s="378"/>
      <c r="G25" s="378"/>
      <c r="H25" s="378"/>
      <c r="I25" s="384"/>
      <c r="J25" s="384"/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  <c r="AA25" s="384"/>
      <c r="AB25" s="384"/>
      <c r="AC25" s="384"/>
      <c r="AD25" s="384"/>
      <c r="AE25" s="384"/>
      <c r="AF25" s="384"/>
      <c r="AG25" s="384"/>
      <c r="AH25" s="384"/>
      <c r="AO25" s="378"/>
      <c r="AP25" s="378"/>
    </row>
    <row r="26" spans="1:42" s="394" customFormat="1" ht="18.75" customHeight="1">
      <c r="A26" s="393"/>
      <c r="B26" s="441" t="s">
        <v>263</v>
      </c>
      <c r="C26" s="381"/>
      <c r="D26" s="381"/>
      <c r="E26" s="417"/>
      <c r="F26" s="417"/>
      <c r="G26" s="418"/>
      <c r="H26" s="417"/>
      <c r="I26" s="417"/>
      <c r="J26" s="419"/>
      <c r="K26" s="419"/>
      <c r="L26" s="419"/>
      <c r="M26" s="419"/>
      <c r="N26" s="419"/>
      <c r="S26" s="549" t="s">
        <v>262</v>
      </c>
      <c r="T26" s="549"/>
      <c r="U26" s="549"/>
      <c r="V26" s="549"/>
      <c r="W26" s="549"/>
      <c r="X26" s="549"/>
      <c r="Y26" s="419"/>
      <c r="Z26" s="419"/>
      <c r="AA26" s="419"/>
      <c r="AB26" s="419"/>
      <c r="AC26" s="419"/>
      <c r="AD26" s="419"/>
      <c r="AE26" s="419"/>
      <c r="AF26" s="419"/>
      <c r="AG26" s="419"/>
      <c r="AH26" s="419"/>
      <c r="AI26" s="381"/>
      <c r="AJ26" s="381"/>
      <c r="AK26" s="381"/>
      <c r="AL26" s="381"/>
      <c r="AM26" s="381"/>
      <c r="AN26" s="381"/>
      <c r="AO26" s="549" t="s">
        <v>317</v>
      </c>
      <c r="AP26" s="549"/>
    </row>
    <row r="27" spans="1:42" s="380" customFormat="1" ht="20.25" customHeight="1">
      <c r="A27" s="83"/>
      <c r="B27" s="83"/>
      <c r="C27" s="83"/>
      <c r="D27" s="378"/>
      <c r="E27" s="385"/>
      <c r="F27" s="385"/>
      <c r="G27" s="401"/>
      <c r="H27" s="385"/>
      <c r="I27" s="385"/>
      <c r="J27" s="385"/>
      <c r="K27" s="385"/>
      <c r="L27" s="385"/>
      <c r="M27" s="385"/>
      <c r="N27" s="385"/>
      <c r="T27" s="378"/>
      <c r="U27" s="378"/>
      <c r="V27" s="385"/>
      <c r="W27" s="385"/>
      <c r="X27" s="385"/>
      <c r="Y27" s="385"/>
      <c r="Z27" s="385"/>
      <c r="AA27" s="385"/>
      <c r="AB27" s="385"/>
      <c r="AC27" s="385"/>
      <c r="AD27" s="385"/>
      <c r="AE27" s="385"/>
      <c r="AF27" s="385"/>
      <c r="AG27" s="385"/>
      <c r="AH27" s="385"/>
      <c r="AI27" s="379"/>
      <c r="AJ27" s="379"/>
      <c r="AK27" s="379"/>
      <c r="AL27" s="397"/>
      <c r="AM27" s="379"/>
      <c r="AN27" s="379"/>
      <c r="AO27" s="378"/>
      <c r="AP27" s="378"/>
    </row>
    <row r="28" spans="1:42" s="380" customFormat="1" ht="18.75" customHeight="1">
      <c r="A28" s="83"/>
      <c r="B28" s="83"/>
      <c r="C28" s="83"/>
      <c r="D28" s="378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T28" s="378"/>
      <c r="U28" s="378"/>
      <c r="V28" s="385"/>
      <c r="W28" s="385"/>
      <c r="X28" s="385"/>
      <c r="Y28" s="385"/>
      <c r="Z28" s="385"/>
      <c r="AA28" s="385"/>
      <c r="AB28" s="385"/>
      <c r="AC28" s="385"/>
      <c r="AD28" s="385"/>
      <c r="AE28" s="385"/>
      <c r="AF28" s="385"/>
      <c r="AG28" s="385"/>
      <c r="AH28" s="385"/>
      <c r="AI28" s="379"/>
      <c r="AJ28" s="379"/>
      <c r="AK28" s="379"/>
      <c r="AL28" s="397"/>
      <c r="AM28" s="379"/>
      <c r="AN28" s="379"/>
      <c r="AO28" s="378"/>
      <c r="AP28" s="378"/>
    </row>
    <row r="29" spans="1:42" s="380" customFormat="1" ht="20.25" customHeight="1">
      <c r="A29" s="83"/>
      <c r="B29" s="83"/>
      <c r="C29" s="83"/>
      <c r="D29" s="83"/>
      <c r="E29" s="400"/>
      <c r="F29" s="400"/>
      <c r="G29" s="400"/>
      <c r="H29" s="400"/>
      <c r="I29" s="400"/>
      <c r="J29" s="400"/>
      <c r="K29" s="400"/>
      <c r="L29" s="400"/>
      <c r="M29" s="400"/>
      <c r="N29" s="400"/>
      <c r="T29" s="83"/>
      <c r="U29" s="83"/>
      <c r="V29" s="400"/>
      <c r="W29" s="400"/>
      <c r="X29" s="400"/>
      <c r="Y29" s="400"/>
      <c r="Z29" s="400"/>
      <c r="AA29" s="400"/>
      <c r="AB29" s="400"/>
      <c r="AC29" s="400"/>
      <c r="AD29" s="400"/>
      <c r="AE29" s="400"/>
      <c r="AF29" s="400"/>
      <c r="AG29" s="400"/>
      <c r="AH29" s="400"/>
      <c r="AI29" s="83"/>
      <c r="AJ29" s="83"/>
      <c r="AK29" s="83"/>
      <c r="AL29" s="398"/>
      <c r="AM29" s="83"/>
      <c r="AN29" s="83"/>
      <c r="AO29" s="83"/>
      <c r="AP29" s="83"/>
    </row>
    <row r="30" spans="1:42" s="392" customFormat="1" ht="27" customHeight="1">
      <c r="A30" s="440"/>
      <c r="B30" s="439" t="s">
        <v>318</v>
      </c>
      <c r="C30" s="28"/>
      <c r="D30" s="28"/>
      <c r="E30" s="391"/>
      <c r="F30" s="391"/>
      <c r="G30" s="391"/>
      <c r="H30" s="391"/>
      <c r="I30" s="391"/>
      <c r="J30" s="391"/>
      <c r="K30" s="391"/>
      <c r="L30" s="391"/>
      <c r="M30" s="391"/>
      <c r="N30" s="391"/>
      <c r="S30" s="465" t="s">
        <v>319</v>
      </c>
      <c r="T30" s="465"/>
      <c r="U30" s="465"/>
      <c r="V30" s="465"/>
      <c r="W30" s="465"/>
      <c r="X30" s="465"/>
      <c r="Y30" s="391"/>
      <c r="Z30" s="391"/>
      <c r="AA30" s="391"/>
      <c r="AB30" s="391"/>
      <c r="AC30" s="391"/>
      <c r="AD30" s="391"/>
      <c r="AE30" s="391"/>
      <c r="AF30" s="391"/>
      <c r="AG30" s="391"/>
      <c r="AH30" s="391"/>
      <c r="AI30" s="395"/>
      <c r="AJ30" s="395"/>
      <c r="AK30" s="395"/>
      <c r="AL30" s="399"/>
      <c r="AM30" s="395"/>
      <c r="AN30" s="395"/>
      <c r="AO30" s="465" t="s">
        <v>320</v>
      </c>
      <c r="AP30" s="465"/>
    </row>
    <row r="31" spans="1:42" s="380" customFormat="1" ht="20.25" customHeight="1">
      <c r="A31" s="382"/>
      <c r="B31" s="415"/>
      <c r="C31" s="415" t="s">
        <v>259</v>
      </c>
      <c r="D31" s="382"/>
      <c r="E31" s="385"/>
      <c r="F31" s="385"/>
      <c r="G31" s="385"/>
      <c r="H31" s="385"/>
      <c r="I31" s="385"/>
      <c r="J31" s="385"/>
      <c r="K31" s="385"/>
      <c r="L31" s="385"/>
      <c r="M31" s="386"/>
      <c r="N31" s="387"/>
      <c r="O31" s="385"/>
      <c r="P31" s="385"/>
      <c r="Q31" s="385"/>
      <c r="R31" s="385"/>
      <c r="S31" s="385"/>
      <c r="T31" s="385"/>
      <c r="U31" s="385"/>
      <c r="W31" s="416"/>
      <c r="X31" s="416"/>
      <c r="Y31" s="385"/>
      <c r="Z31" s="416" t="s">
        <v>227</v>
      </c>
      <c r="AO31" s="378"/>
      <c r="AP31" s="378"/>
    </row>
    <row r="32" spans="1:42" s="380" customFormat="1" ht="18.75" customHeight="1">
      <c r="A32" s="83"/>
      <c r="B32" s="83"/>
      <c r="C32" s="83"/>
      <c r="D32" s="385" t="s">
        <v>224</v>
      </c>
      <c r="E32" s="385" t="s">
        <v>225</v>
      </c>
      <c r="F32" s="385"/>
      <c r="G32" s="385"/>
      <c r="H32" s="385"/>
      <c r="I32" s="385"/>
      <c r="J32" s="385"/>
      <c r="K32" s="385"/>
      <c r="L32" s="385"/>
      <c r="M32" s="385"/>
      <c r="N32" s="386" t="s">
        <v>223</v>
      </c>
      <c r="O32" s="387" t="s">
        <v>241</v>
      </c>
      <c r="P32" s="385" t="s">
        <v>226</v>
      </c>
      <c r="Q32" s="385"/>
      <c r="R32" s="385"/>
      <c r="S32" s="385"/>
      <c r="T32" s="385"/>
      <c r="U32" s="385"/>
      <c r="V32" s="385"/>
      <c r="W32" s="385"/>
      <c r="X32" s="385"/>
      <c r="Y32" s="385"/>
      <c r="AB32" s="386" t="s">
        <v>223</v>
      </c>
      <c r="AC32" s="388"/>
      <c r="AD32" s="385" t="s">
        <v>228</v>
      </c>
      <c r="AE32" s="385"/>
      <c r="AF32" s="385"/>
      <c r="AG32" s="385"/>
      <c r="AH32" s="385"/>
      <c r="AI32" s="385"/>
      <c r="AJ32" s="385"/>
      <c r="AK32" s="379"/>
      <c r="AL32" s="379"/>
      <c r="AM32" s="379"/>
      <c r="AN32" s="397"/>
      <c r="AO32" s="379"/>
      <c r="AP32" s="379"/>
    </row>
    <row r="33" spans="1:42" s="380" customFormat="1" ht="20.25" customHeight="1">
      <c r="A33" s="83"/>
      <c r="B33" s="83"/>
      <c r="C33" s="83"/>
      <c r="D33" s="385" t="s">
        <v>213</v>
      </c>
      <c r="E33" s="385" t="s">
        <v>229</v>
      </c>
      <c r="F33" s="385"/>
      <c r="G33" s="385"/>
      <c r="H33" s="385"/>
      <c r="I33" s="385"/>
      <c r="J33" s="385"/>
      <c r="K33" s="385"/>
      <c r="L33" s="385"/>
      <c r="M33" s="385"/>
      <c r="N33" s="386" t="s">
        <v>223</v>
      </c>
      <c r="O33" s="385" t="s">
        <v>220</v>
      </c>
      <c r="P33" s="385" t="s">
        <v>230</v>
      </c>
      <c r="Q33" s="385"/>
      <c r="R33" s="385"/>
      <c r="S33" s="385"/>
      <c r="T33" s="385"/>
      <c r="U33" s="385"/>
      <c r="V33" s="385"/>
      <c r="W33" s="385"/>
      <c r="X33" s="385"/>
      <c r="Y33" s="385"/>
      <c r="AB33" s="386" t="s">
        <v>223</v>
      </c>
      <c r="AC33" s="388"/>
      <c r="AD33" s="385" t="s">
        <v>231</v>
      </c>
      <c r="AE33" s="385"/>
      <c r="AF33" s="385"/>
      <c r="AG33" s="385"/>
      <c r="AH33" s="385"/>
      <c r="AI33" s="386"/>
      <c r="AJ33" s="385"/>
      <c r="AK33" s="379"/>
      <c r="AL33" s="379"/>
      <c r="AM33" s="379"/>
      <c r="AN33" s="397"/>
      <c r="AO33" s="379"/>
      <c r="AP33" s="379"/>
    </row>
    <row r="34" spans="1:42" s="380" customFormat="1" ht="18.75" customHeight="1">
      <c r="A34" s="83"/>
      <c r="B34" s="83"/>
      <c r="C34" s="83"/>
      <c r="D34" s="385" t="s">
        <v>219</v>
      </c>
      <c r="E34" s="385" t="s">
        <v>232</v>
      </c>
      <c r="F34" s="385"/>
      <c r="G34" s="385"/>
      <c r="H34" s="385"/>
      <c r="I34" s="385"/>
      <c r="J34" s="385"/>
      <c r="K34" s="385"/>
      <c r="L34" s="385"/>
      <c r="M34" s="385"/>
      <c r="N34" s="386" t="s">
        <v>223</v>
      </c>
      <c r="O34" s="385" t="s">
        <v>218</v>
      </c>
      <c r="P34" s="385" t="s">
        <v>233</v>
      </c>
      <c r="Q34" s="385"/>
      <c r="R34" s="385"/>
      <c r="S34" s="384"/>
      <c r="T34" s="384"/>
      <c r="U34" s="385"/>
      <c r="V34" s="385"/>
      <c r="W34" s="385"/>
      <c r="X34" s="385"/>
      <c r="Y34" s="385"/>
      <c r="AB34" s="386"/>
      <c r="AC34" s="396" t="s">
        <v>256</v>
      </c>
      <c r="AD34" s="385" t="s">
        <v>257</v>
      </c>
      <c r="AE34" s="385"/>
      <c r="AF34" s="385"/>
      <c r="AG34" s="385"/>
      <c r="AH34" s="385"/>
      <c r="AI34" s="386"/>
      <c r="AJ34" s="385"/>
      <c r="AK34" s="379"/>
      <c r="AL34" s="379"/>
      <c r="AM34" s="379"/>
      <c r="AN34" s="397"/>
      <c r="AO34" s="379"/>
      <c r="AP34" s="379"/>
    </row>
    <row r="35" spans="1:42" s="380" customFormat="1" ht="20.25" customHeight="1">
      <c r="A35" s="83"/>
      <c r="B35" s="83"/>
      <c r="C35" s="83"/>
      <c r="D35" s="385" t="s">
        <v>234</v>
      </c>
      <c r="E35" s="385" t="s">
        <v>235</v>
      </c>
      <c r="F35" s="385"/>
      <c r="G35" s="385"/>
      <c r="H35" s="385"/>
      <c r="I35" s="385"/>
      <c r="J35" s="385"/>
      <c r="K35" s="385"/>
      <c r="L35" s="385"/>
      <c r="M35" s="385"/>
      <c r="N35" s="389" t="s">
        <v>223</v>
      </c>
      <c r="O35" s="384" t="s">
        <v>221</v>
      </c>
      <c r="P35" s="384" t="s">
        <v>244</v>
      </c>
      <c r="Q35" s="384"/>
      <c r="R35" s="384"/>
      <c r="S35" s="384"/>
      <c r="T35" s="384"/>
      <c r="U35" s="385"/>
      <c r="V35" s="385"/>
      <c r="W35" s="385"/>
      <c r="X35" s="385"/>
      <c r="Y35" s="385"/>
      <c r="AB35" s="386"/>
      <c r="AC35" s="385"/>
      <c r="AD35" s="385" t="s">
        <v>264</v>
      </c>
      <c r="AE35" s="385"/>
      <c r="AF35" s="385"/>
      <c r="AG35" s="385"/>
      <c r="AH35" s="385"/>
      <c r="AI35" s="385"/>
      <c r="AJ35" s="385"/>
      <c r="AK35" s="379"/>
      <c r="AL35" s="379"/>
      <c r="AM35" s="379"/>
      <c r="AN35" s="397"/>
      <c r="AO35" s="379"/>
      <c r="AP35" s="379"/>
    </row>
    <row r="36" spans="1:42" s="380" customFormat="1" ht="18.75" customHeight="1">
      <c r="A36" s="83"/>
      <c r="B36" s="83"/>
      <c r="C36" s="83"/>
      <c r="D36" s="390" t="s">
        <v>245</v>
      </c>
      <c r="E36" s="385" t="s">
        <v>246</v>
      </c>
      <c r="F36" s="385"/>
      <c r="G36" s="385"/>
      <c r="H36" s="385"/>
      <c r="I36" s="385"/>
      <c r="J36" s="385"/>
      <c r="K36" s="385"/>
      <c r="L36" s="385"/>
      <c r="M36" s="385"/>
      <c r="N36" s="389" t="s">
        <v>223</v>
      </c>
      <c r="O36" s="384" t="s">
        <v>247</v>
      </c>
      <c r="P36" s="384" t="s">
        <v>248</v>
      </c>
      <c r="Q36" s="384"/>
      <c r="R36" s="384"/>
      <c r="S36" s="384"/>
      <c r="T36" s="384"/>
      <c r="U36" s="385"/>
      <c r="V36" s="385"/>
      <c r="W36" s="385"/>
      <c r="X36" s="385"/>
      <c r="Y36" s="385"/>
      <c r="Z36" s="385"/>
      <c r="AA36" s="385"/>
      <c r="AB36" s="386"/>
      <c r="AC36" s="383" t="s">
        <v>216</v>
      </c>
      <c r="AD36" s="385" t="s">
        <v>258</v>
      </c>
      <c r="AE36" s="385"/>
      <c r="AF36" s="385"/>
      <c r="AG36" s="385"/>
      <c r="AH36" s="385"/>
      <c r="AI36" s="385"/>
      <c r="AJ36" s="385"/>
      <c r="AK36" s="379"/>
      <c r="AL36" s="379"/>
      <c r="AM36" s="379"/>
      <c r="AN36" s="397"/>
      <c r="AO36" s="379"/>
      <c r="AP36" s="379"/>
    </row>
    <row r="37" spans="1:42" s="380" customFormat="1" ht="20.25" customHeight="1">
      <c r="A37" s="83"/>
      <c r="B37" s="83"/>
      <c r="C37" s="83"/>
      <c r="D37" s="390" t="s">
        <v>249</v>
      </c>
      <c r="E37" s="385" t="s">
        <v>250</v>
      </c>
      <c r="F37" s="385"/>
      <c r="G37" s="385"/>
      <c r="H37" s="385"/>
      <c r="I37" s="385"/>
      <c r="J37" s="385"/>
      <c r="K37" s="385"/>
      <c r="L37" s="385"/>
      <c r="M37" s="385"/>
      <c r="N37" s="386" t="s">
        <v>223</v>
      </c>
      <c r="O37" s="385" t="s">
        <v>222</v>
      </c>
      <c r="P37" s="385" t="s">
        <v>251</v>
      </c>
      <c r="Q37" s="385"/>
      <c r="R37" s="385"/>
      <c r="S37" s="385"/>
      <c r="T37" s="384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79"/>
      <c r="AJ37" s="379"/>
      <c r="AK37" s="379"/>
      <c r="AL37" s="397"/>
      <c r="AM37" s="379"/>
      <c r="AN37" s="379"/>
      <c r="AO37" s="378"/>
      <c r="AP37" s="378"/>
    </row>
    <row r="38" spans="1:42" s="380" customFormat="1" ht="18.75" customHeight="1">
      <c r="A38" s="83"/>
      <c r="B38" s="83"/>
      <c r="C38" s="83"/>
      <c r="D38" s="385" t="s">
        <v>236</v>
      </c>
      <c r="E38" s="385" t="s">
        <v>237</v>
      </c>
      <c r="F38" s="385"/>
      <c r="G38" s="385"/>
      <c r="H38" s="385"/>
      <c r="I38" s="385"/>
      <c r="J38" s="385"/>
      <c r="K38" s="385"/>
      <c r="L38" s="385"/>
      <c r="M38" s="385"/>
      <c r="N38" s="386" t="s">
        <v>223</v>
      </c>
      <c r="O38" s="385" t="s">
        <v>217</v>
      </c>
      <c r="P38" s="385" t="s">
        <v>240</v>
      </c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85"/>
      <c r="AE38" s="385"/>
      <c r="AF38" s="385"/>
      <c r="AG38" s="385"/>
      <c r="AH38" s="385"/>
      <c r="AI38" s="379"/>
      <c r="AJ38" s="379"/>
      <c r="AK38" s="379"/>
      <c r="AL38" s="397"/>
      <c r="AM38" s="379"/>
      <c r="AN38" s="379"/>
      <c r="AO38" s="378"/>
      <c r="AP38" s="378"/>
    </row>
    <row r="39" spans="1:42" s="380" customFormat="1" ht="20.25" customHeight="1">
      <c r="A39" s="83"/>
      <c r="B39" s="83"/>
      <c r="C39" s="83"/>
      <c r="D39" s="384" t="s">
        <v>238</v>
      </c>
      <c r="E39" s="384" t="s">
        <v>239</v>
      </c>
      <c r="F39" s="384"/>
      <c r="G39" s="384"/>
      <c r="H39" s="385"/>
      <c r="I39" s="385"/>
      <c r="J39" s="385"/>
      <c r="K39" s="385"/>
      <c r="L39" s="385"/>
      <c r="M39" s="385"/>
      <c r="N39" s="386" t="s">
        <v>223</v>
      </c>
      <c r="O39" s="385" t="s">
        <v>242</v>
      </c>
      <c r="P39" s="385" t="s">
        <v>252</v>
      </c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79"/>
      <c r="AJ39" s="379"/>
      <c r="AK39" s="379"/>
      <c r="AL39" s="397"/>
      <c r="AM39" s="379"/>
      <c r="AN39" s="379"/>
      <c r="AO39" s="378"/>
      <c r="AP39" s="378"/>
    </row>
    <row r="40" spans="1:42" s="380" customFormat="1" ht="18.75" customHeight="1">
      <c r="A40" s="83"/>
      <c r="B40" s="83"/>
      <c r="C40" s="83"/>
      <c r="D40" s="378"/>
      <c r="E40" s="385"/>
      <c r="F40" s="385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  <c r="AC40" s="385"/>
      <c r="AD40" s="385"/>
      <c r="AE40" s="385"/>
      <c r="AF40" s="385"/>
      <c r="AG40" s="385"/>
      <c r="AH40" s="385"/>
      <c r="AI40" s="379"/>
      <c r="AJ40" s="379"/>
      <c r="AK40" s="379"/>
      <c r="AL40" s="397"/>
      <c r="AM40" s="379"/>
      <c r="AN40" s="379"/>
      <c r="AO40" s="378"/>
      <c r="AP40" s="378"/>
    </row>
    <row r="41" spans="1:42" s="380" customFormat="1" ht="20.25" customHeight="1">
      <c r="A41" s="83"/>
      <c r="B41" s="83"/>
      <c r="C41" s="83"/>
      <c r="D41" s="378"/>
      <c r="E41" s="385"/>
      <c r="F41" s="385"/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79"/>
      <c r="AJ41" s="379"/>
      <c r="AK41" s="379"/>
      <c r="AL41" s="397"/>
      <c r="AM41" s="379"/>
      <c r="AN41" s="379"/>
      <c r="AO41" s="378"/>
      <c r="AP41" s="378"/>
    </row>
    <row r="42" spans="1:42" s="380" customFormat="1" ht="18.75" customHeight="1">
      <c r="A42" s="83"/>
      <c r="B42" s="83"/>
      <c r="C42" s="83"/>
      <c r="D42" s="378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79"/>
      <c r="AJ42" s="379"/>
      <c r="AK42" s="379"/>
      <c r="AL42" s="397"/>
      <c r="AM42" s="379"/>
      <c r="AN42" s="379"/>
      <c r="AO42" s="378"/>
      <c r="AP42" s="378"/>
    </row>
    <row r="43" spans="1:42" s="380" customFormat="1" ht="17.399999999999999" customHeight="1">
      <c r="A43" s="83"/>
      <c r="B43" s="83"/>
      <c r="C43" s="83"/>
      <c r="D43" s="385"/>
      <c r="E43" s="385"/>
      <c r="F43" s="385"/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79"/>
      <c r="AJ43" s="379"/>
      <c r="AK43" s="379"/>
      <c r="AL43" s="397"/>
      <c r="AM43" s="379"/>
      <c r="AN43" s="379"/>
      <c r="AO43" s="378"/>
      <c r="AP43" s="378"/>
    </row>
    <row r="44" spans="1:42" ht="17.399999999999999" customHeight="1"/>
    <row r="45" spans="1:42" s="381" customFormat="1" ht="16.8">
      <c r="A45" s="83"/>
      <c r="B45" s="83"/>
      <c r="C45" s="83"/>
      <c r="D45" s="378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85"/>
      <c r="AG45" s="385"/>
      <c r="AH45" s="385"/>
      <c r="AI45" s="379"/>
      <c r="AJ45" s="379"/>
      <c r="AK45" s="379"/>
      <c r="AL45" s="397"/>
      <c r="AM45" s="379"/>
      <c r="AN45" s="379"/>
      <c r="AO45" s="378"/>
      <c r="AP45" s="378"/>
    </row>
    <row r="48" spans="1:42" s="83" customFormat="1">
      <c r="D48" s="378"/>
      <c r="E48" s="385"/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79"/>
      <c r="AJ48" s="379"/>
      <c r="AK48" s="379"/>
      <c r="AL48" s="397"/>
      <c r="AM48" s="379"/>
      <c r="AN48" s="379"/>
      <c r="AO48" s="378"/>
      <c r="AP48" s="378"/>
    </row>
  </sheetData>
  <mergeCells count="52">
    <mergeCell ref="AP16:AP17"/>
    <mergeCell ref="S26:X26"/>
    <mergeCell ref="AO26:AP26"/>
    <mergeCell ref="S30:X30"/>
    <mergeCell ref="AO30:AP30"/>
    <mergeCell ref="AP18:AP19"/>
    <mergeCell ref="A22:A23"/>
    <mergeCell ref="B22:B23"/>
    <mergeCell ref="C22:C23"/>
    <mergeCell ref="AP22:AP23"/>
    <mergeCell ref="A24:C24"/>
    <mergeCell ref="D24:AO24"/>
    <mergeCell ref="A20:A21"/>
    <mergeCell ref="B20:B21"/>
    <mergeCell ref="C20:C21"/>
    <mergeCell ref="AP20:AP21"/>
    <mergeCell ref="A10:A11"/>
    <mergeCell ref="B10:B11"/>
    <mergeCell ref="C10:C11"/>
    <mergeCell ref="A18:A19"/>
    <mergeCell ref="B18:B19"/>
    <mergeCell ref="C18:C19"/>
    <mergeCell ref="A14:A15"/>
    <mergeCell ref="B14:B15"/>
    <mergeCell ref="C14:C15"/>
    <mergeCell ref="A16:A17"/>
    <mergeCell ref="C16:C17"/>
    <mergeCell ref="B16:B17"/>
    <mergeCell ref="AP14:AP15"/>
    <mergeCell ref="A12:A13"/>
    <mergeCell ref="B12:B13"/>
    <mergeCell ref="C12:C13"/>
    <mergeCell ref="AP12:AP13"/>
    <mergeCell ref="AL6:AL8"/>
    <mergeCell ref="AM6:AM8"/>
    <mergeCell ref="AN6:AN8"/>
    <mergeCell ref="AP10:AP11"/>
    <mergeCell ref="A1:K1"/>
    <mergeCell ref="A2:J2"/>
    <mergeCell ref="A3:J3"/>
    <mergeCell ref="A4:AP4"/>
    <mergeCell ref="A5:A8"/>
    <mergeCell ref="B5:B8"/>
    <mergeCell ref="C5:C8"/>
    <mergeCell ref="D5:AH6"/>
    <mergeCell ref="AI5:AK5"/>
    <mergeCell ref="AL5:AN5"/>
    <mergeCell ref="AO5:AO8"/>
    <mergeCell ref="AP5:AP8"/>
    <mergeCell ref="AI6:AI8"/>
    <mergeCell ref="AJ6:AJ8"/>
    <mergeCell ref="AK6:AK8"/>
  </mergeCells>
  <printOptions horizontalCentered="1"/>
  <pageMargins left="0" right="0" top="0.75" bottom="0.75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FD37-0BBE-412E-955D-58C511106687}">
  <dimension ref="A1:AX42"/>
  <sheetViews>
    <sheetView tabSelected="1"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I15" sqref="I15"/>
    </sheetView>
  </sheetViews>
  <sheetFormatPr defaultColWidth="9" defaultRowHeight="13.8"/>
  <cols>
    <col min="1" max="1" width="4.8984375" style="83" customWidth="1"/>
    <col min="2" max="2" width="22.19921875" style="83" customWidth="1"/>
    <col min="3" max="3" width="8" style="83" customWidth="1"/>
    <col min="4" max="4" width="4" style="378" customWidth="1"/>
    <col min="5" max="5" width="4" style="385" customWidth="1"/>
    <col min="6" max="6" width="3.8984375" style="385" customWidth="1"/>
    <col min="7" max="32" width="4" style="385" customWidth="1"/>
    <col min="33" max="33" width="4.09765625" style="385" customWidth="1"/>
    <col min="34" max="34" width="3.69921875" style="385" customWidth="1"/>
    <col min="35" max="35" width="5.09765625" style="379" customWidth="1"/>
    <col min="36" max="37" width="5.5" style="379" customWidth="1"/>
    <col min="38" max="38" width="7.19921875" style="397" customWidth="1"/>
    <col min="39" max="39" width="6.5" style="379" customWidth="1"/>
    <col min="40" max="40" width="5.09765625" style="379" customWidth="1"/>
    <col min="41" max="41" width="7.19921875" style="378" customWidth="1"/>
    <col min="42" max="42" width="16.19921875" style="378" customWidth="1"/>
    <col min="43" max="16384" width="9" style="378"/>
  </cols>
  <sheetData>
    <row r="1" spans="1:50">
      <c r="A1" s="437"/>
      <c r="B1" s="437"/>
      <c r="C1" s="437"/>
      <c r="D1" s="433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5"/>
      <c r="AJ1" s="435"/>
      <c r="AK1" s="435"/>
      <c r="AL1" s="436"/>
      <c r="AM1" s="435"/>
      <c r="AN1" s="435"/>
      <c r="AO1" s="433"/>
      <c r="AP1" s="433"/>
    </row>
    <row r="2" spans="1:50" s="28" customFormat="1" ht="18" customHeight="1">
      <c r="A2" s="495" t="s">
        <v>260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02"/>
      <c r="M2" s="403"/>
      <c r="N2" s="403"/>
      <c r="O2" s="403"/>
      <c r="P2" s="403"/>
      <c r="Q2" s="403"/>
      <c r="R2" s="403"/>
      <c r="S2" s="403"/>
      <c r="T2" s="403"/>
      <c r="U2" s="403"/>
      <c r="V2" s="403"/>
      <c r="W2" s="403"/>
      <c r="X2" s="403"/>
      <c r="Y2" s="403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103"/>
      <c r="AR2" s="103"/>
      <c r="AS2" s="103"/>
      <c r="AT2" s="103"/>
      <c r="AU2" s="103"/>
      <c r="AV2" s="103"/>
      <c r="AW2" s="103"/>
      <c r="AX2" s="103"/>
    </row>
    <row r="3" spans="1:50" s="28" customFormat="1" ht="18" customHeight="1">
      <c r="A3" s="496" t="s">
        <v>271</v>
      </c>
      <c r="B3" s="496"/>
      <c r="C3" s="496"/>
      <c r="D3" s="496"/>
      <c r="E3" s="496"/>
      <c r="F3" s="496"/>
      <c r="G3" s="496"/>
      <c r="H3" s="496"/>
      <c r="I3" s="496"/>
      <c r="J3" s="496"/>
      <c r="K3" s="404"/>
      <c r="L3" s="404"/>
      <c r="M3" s="405"/>
      <c r="N3" s="405"/>
      <c r="O3" s="405"/>
      <c r="P3" s="405"/>
      <c r="Q3" s="405"/>
      <c r="R3" s="403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02"/>
      <c r="AF3" s="402"/>
      <c r="AG3" s="402"/>
      <c r="AH3" s="402"/>
      <c r="AI3" s="402"/>
      <c r="AJ3" s="402"/>
      <c r="AK3" s="402"/>
      <c r="AL3" s="402"/>
      <c r="AM3" s="402"/>
      <c r="AN3" s="402"/>
      <c r="AO3" s="402"/>
      <c r="AP3" s="402"/>
    </row>
    <row r="4" spans="1:50" s="328" customFormat="1" ht="26.25" customHeight="1">
      <c r="A4" s="498" t="str">
        <f>"BẢNG CHẤM CÔNG BỘ PHẬN KỸ THUẬT THÁNG "&amp;TEXT(MONTH($D$7),"00")&amp;" NĂM 2025"</f>
        <v>BẢNG CHẤM CÔNG BỘ PHẬN KỸ THUẬT THÁNG 12 NĂM 2025</v>
      </c>
      <c r="B4" s="498"/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8"/>
      <c r="U4" s="498"/>
      <c r="V4" s="498"/>
      <c r="W4" s="498"/>
      <c r="X4" s="498"/>
      <c r="Y4" s="498"/>
      <c r="Z4" s="498"/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8"/>
      <c r="AP4" s="498"/>
    </row>
    <row r="5" spans="1:50" ht="20.25" customHeight="1">
      <c r="A5" s="556" t="s">
        <v>0</v>
      </c>
      <c r="B5" s="557" t="s">
        <v>174</v>
      </c>
      <c r="C5" s="556" t="s">
        <v>208</v>
      </c>
      <c r="D5" s="558" t="s">
        <v>209</v>
      </c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  <c r="AH5" s="560"/>
      <c r="AI5" s="510" t="s">
        <v>210</v>
      </c>
      <c r="AJ5" s="511"/>
      <c r="AK5" s="512"/>
      <c r="AL5" s="513" t="s">
        <v>211</v>
      </c>
      <c r="AM5" s="514"/>
      <c r="AN5" s="514"/>
      <c r="AO5" s="501" t="s">
        <v>212</v>
      </c>
      <c r="AP5" s="515" t="s">
        <v>178</v>
      </c>
    </row>
    <row r="6" spans="1:50" s="406" customFormat="1" ht="20.25" customHeight="1">
      <c r="A6" s="556"/>
      <c r="B6" s="557"/>
      <c r="C6" s="556"/>
      <c r="D6" s="561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  <c r="R6" s="562"/>
      <c r="S6" s="562"/>
      <c r="T6" s="562"/>
      <c r="U6" s="562"/>
      <c r="V6" s="562"/>
      <c r="W6" s="562"/>
      <c r="X6" s="562"/>
      <c r="Y6" s="562"/>
      <c r="Z6" s="562"/>
      <c r="AA6" s="562"/>
      <c r="AB6" s="562"/>
      <c r="AC6" s="562"/>
      <c r="AD6" s="562"/>
      <c r="AE6" s="562"/>
      <c r="AF6" s="562"/>
      <c r="AG6" s="562"/>
      <c r="AH6" s="563"/>
      <c r="AI6" s="518" t="s">
        <v>253</v>
      </c>
      <c r="AJ6" s="521" t="s">
        <v>255</v>
      </c>
      <c r="AK6" s="521" t="s">
        <v>214</v>
      </c>
      <c r="AL6" s="524" t="s">
        <v>243</v>
      </c>
      <c r="AM6" s="521" t="s">
        <v>254</v>
      </c>
      <c r="AN6" s="521" t="s">
        <v>215</v>
      </c>
      <c r="AO6" s="502"/>
      <c r="AP6" s="516"/>
    </row>
    <row r="7" spans="1:50" s="406" customFormat="1" ht="22.5" customHeight="1">
      <c r="A7" s="556"/>
      <c r="B7" s="557"/>
      <c r="C7" s="556"/>
      <c r="D7" s="445">
        <v>45992</v>
      </c>
      <c r="E7" s="407">
        <f>D7+1</f>
        <v>45993</v>
      </c>
      <c r="F7" s="407">
        <f t="shared" ref="F7:AH7" si="0">E7+1</f>
        <v>45994</v>
      </c>
      <c r="G7" s="407">
        <f t="shared" si="0"/>
        <v>45995</v>
      </c>
      <c r="H7" s="407">
        <f t="shared" si="0"/>
        <v>45996</v>
      </c>
      <c r="I7" s="407">
        <f t="shared" si="0"/>
        <v>45997</v>
      </c>
      <c r="J7" s="450">
        <f t="shared" si="0"/>
        <v>45998</v>
      </c>
      <c r="K7" s="407">
        <f t="shared" si="0"/>
        <v>45999</v>
      </c>
      <c r="L7" s="407">
        <f t="shared" si="0"/>
        <v>46000</v>
      </c>
      <c r="M7" s="407">
        <f t="shared" si="0"/>
        <v>46001</v>
      </c>
      <c r="N7" s="407">
        <f t="shared" si="0"/>
        <v>46002</v>
      </c>
      <c r="O7" s="407">
        <f t="shared" si="0"/>
        <v>46003</v>
      </c>
      <c r="P7" s="407">
        <f t="shared" si="0"/>
        <v>46004</v>
      </c>
      <c r="Q7" s="450">
        <f t="shared" si="0"/>
        <v>46005</v>
      </c>
      <c r="R7" s="407">
        <f t="shared" si="0"/>
        <v>46006</v>
      </c>
      <c r="S7" s="407">
        <f t="shared" si="0"/>
        <v>46007</v>
      </c>
      <c r="T7" s="407">
        <f t="shared" si="0"/>
        <v>46008</v>
      </c>
      <c r="U7" s="407">
        <f t="shared" si="0"/>
        <v>46009</v>
      </c>
      <c r="V7" s="407">
        <f t="shared" si="0"/>
        <v>46010</v>
      </c>
      <c r="W7" s="407">
        <f t="shared" si="0"/>
        <v>46011</v>
      </c>
      <c r="X7" s="450">
        <f t="shared" si="0"/>
        <v>46012</v>
      </c>
      <c r="Y7" s="407">
        <f t="shared" si="0"/>
        <v>46013</v>
      </c>
      <c r="Z7" s="407">
        <f t="shared" si="0"/>
        <v>46014</v>
      </c>
      <c r="AA7" s="407">
        <f t="shared" si="0"/>
        <v>46015</v>
      </c>
      <c r="AB7" s="407">
        <f t="shared" si="0"/>
        <v>46016</v>
      </c>
      <c r="AC7" s="407">
        <f t="shared" si="0"/>
        <v>46017</v>
      </c>
      <c r="AD7" s="407">
        <f t="shared" si="0"/>
        <v>46018</v>
      </c>
      <c r="AE7" s="450">
        <f t="shared" si="0"/>
        <v>46019</v>
      </c>
      <c r="AF7" s="407">
        <f t="shared" si="0"/>
        <v>46020</v>
      </c>
      <c r="AG7" s="407">
        <f t="shared" si="0"/>
        <v>46021</v>
      </c>
      <c r="AH7" s="407">
        <f t="shared" si="0"/>
        <v>46022</v>
      </c>
      <c r="AI7" s="519"/>
      <c r="AJ7" s="522"/>
      <c r="AK7" s="522"/>
      <c r="AL7" s="525"/>
      <c r="AM7" s="522"/>
      <c r="AN7" s="522"/>
      <c r="AO7" s="502"/>
      <c r="AP7" s="516"/>
    </row>
    <row r="8" spans="1:50" s="406" customFormat="1" ht="27" customHeight="1">
      <c r="A8" s="556"/>
      <c r="B8" s="557"/>
      <c r="C8" s="556"/>
      <c r="D8" s="408" t="str">
        <f>IF("T"&amp;(WEEKDAY(D7))="T1","CN","T"&amp;(WEEKDAY(D7)))</f>
        <v>T2</v>
      </c>
      <c r="E8" s="408" t="str">
        <f t="shared" ref="E8:AH8" si="1">IF("T"&amp;(WEEKDAY(E7))="T1","CN","T"&amp;(WEEKDAY(E7)))</f>
        <v>T3</v>
      </c>
      <c r="F8" s="408" t="str">
        <f t="shared" si="1"/>
        <v>T4</v>
      </c>
      <c r="G8" s="408" t="str">
        <f t="shared" si="1"/>
        <v>T5</v>
      </c>
      <c r="H8" s="408" t="str">
        <f t="shared" si="1"/>
        <v>T6</v>
      </c>
      <c r="I8" s="408" t="str">
        <f t="shared" si="1"/>
        <v>T7</v>
      </c>
      <c r="J8" s="451" t="str">
        <f t="shared" si="1"/>
        <v>CN</v>
      </c>
      <c r="K8" s="408" t="str">
        <f t="shared" si="1"/>
        <v>T2</v>
      </c>
      <c r="L8" s="408" t="str">
        <f t="shared" si="1"/>
        <v>T3</v>
      </c>
      <c r="M8" s="408" t="str">
        <f>IF("T"&amp;(WEEKDAY(M7))="T1","CN","T"&amp;(WEEKDAY(M7)))</f>
        <v>T4</v>
      </c>
      <c r="N8" s="408" t="str">
        <f t="shared" si="1"/>
        <v>T5</v>
      </c>
      <c r="O8" s="408" t="str">
        <f t="shared" si="1"/>
        <v>T6</v>
      </c>
      <c r="P8" s="408" t="str">
        <f t="shared" si="1"/>
        <v>T7</v>
      </c>
      <c r="Q8" s="451" t="str">
        <f t="shared" si="1"/>
        <v>CN</v>
      </c>
      <c r="R8" s="408" t="str">
        <f t="shared" si="1"/>
        <v>T2</v>
      </c>
      <c r="S8" s="408" t="str">
        <f t="shared" si="1"/>
        <v>T3</v>
      </c>
      <c r="T8" s="408" t="str">
        <f t="shared" si="1"/>
        <v>T4</v>
      </c>
      <c r="U8" s="408" t="str">
        <f t="shared" si="1"/>
        <v>T5</v>
      </c>
      <c r="V8" s="408" t="str">
        <f t="shared" si="1"/>
        <v>T6</v>
      </c>
      <c r="W8" s="408" t="str">
        <f t="shared" si="1"/>
        <v>T7</v>
      </c>
      <c r="X8" s="451" t="str">
        <f t="shared" si="1"/>
        <v>CN</v>
      </c>
      <c r="Y8" s="408" t="str">
        <f t="shared" si="1"/>
        <v>T2</v>
      </c>
      <c r="Z8" s="408" t="str">
        <f t="shared" si="1"/>
        <v>T3</v>
      </c>
      <c r="AA8" s="408" t="str">
        <f t="shared" si="1"/>
        <v>T4</v>
      </c>
      <c r="AB8" s="408" t="str">
        <f t="shared" si="1"/>
        <v>T5</v>
      </c>
      <c r="AC8" s="408" t="str">
        <f t="shared" si="1"/>
        <v>T6</v>
      </c>
      <c r="AD8" s="408" t="str">
        <f t="shared" si="1"/>
        <v>T7</v>
      </c>
      <c r="AE8" s="451" t="str">
        <f t="shared" si="1"/>
        <v>CN</v>
      </c>
      <c r="AF8" s="408" t="str">
        <f t="shared" si="1"/>
        <v>T2</v>
      </c>
      <c r="AG8" s="408" t="str">
        <f t="shared" si="1"/>
        <v>T3</v>
      </c>
      <c r="AH8" s="408" t="str">
        <f t="shared" si="1"/>
        <v>T4</v>
      </c>
      <c r="AI8" s="520"/>
      <c r="AJ8" s="523"/>
      <c r="AK8" s="523"/>
      <c r="AL8" s="526"/>
      <c r="AM8" s="523"/>
      <c r="AN8" s="523"/>
      <c r="AO8" s="503"/>
      <c r="AP8" s="517"/>
    </row>
    <row r="9" spans="1:50" s="406" customFormat="1" ht="11.25" customHeight="1">
      <c r="A9" s="410">
        <v>1</v>
      </c>
      <c r="B9" s="406">
        <v>2</v>
      </c>
      <c r="C9" s="410">
        <v>3</v>
      </c>
      <c r="D9" s="410">
        <v>4</v>
      </c>
      <c r="E9" s="409">
        <v>5</v>
      </c>
      <c r="F9" s="409">
        <v>6</v>
      </c>
      <c r="G9" s="409">
        <v>7</v>
      </c>
      <c r="H9" s="409">
        <v>8</v>
      </c>
      <c r="I9" s="409">
        <v>9</v>
      </c>
      <c r="J9" s="452">
        <v>10</v>
      </c>
      <c r="K9" s="409">
        <v>11</v>
      </c>
      <c r="L9" s="409">
        <v>12</v>
      </c>
      <c r="M9" s="409">
        <v>13</v>
      </c>
      <c r="N9" s="409">
        <v>14</v>
      </c>
      <c r="O9" s="409">
        <v>15</v>
      </c>
      <c r="P9" s="409">
        <v>16</v>
      </c>
      <c r="Q9" s="452">
        <v>17</v>
      </c>
      <c r="R9" s="409">
        <v>18</v>
      </c>
      <c r="S9" s="409">
        <v>19</v>
      </c>
      <c r="T9" s="409">
        <v>20</v>
      </c>
      <c r="U9" s="409">
        <v>21</v>
      </c>
      <c r="V9" s="409">
        <v>22</v>
      </c>
      <c r="W9" s="409">
        <v>23</v>
      </c>
      <c r="X9" s="452">
        <v>24</v>
      </c>
      <c r="Y9" s="409">
        <v>25</v>
      </c>
      <c r="Z9" s="409">
        <v>26</v>
      </c>
      <c r="AA9" s="409">
        <v>27</v>
      </c>
      <c r="AB9" s="409">
        <v>28</v>
      </c>
      <c r="AC9" s="409">
        <v>29</v>
      </c>
      <c r="AD9" s="409">
        <v>30</v>
      </c>
      <c r="AE9" s="452">
        <v>31</v>
      </c>
      <c r="AF9" s="409">
        <v>32</v>
      </c>
      <c r="AG9" s="409">
        <v>33</v>
      </c>
      <c r="AH9" s="409">
        <v>34</v>
      </c>
      <c r="AI9" s="409">
        <v>35</v>
      </c>
      <c r="AJ9" s="409">
        <v>36</v>
      </c>
      <c r="AK9" s="409">
        <v>37</v>
      </c>
      <c r="AL9" s="409">
        <v>38</v>
      </c>
      <c r="AM9" s="409">
        <v>39</v>
      </c>
      <c r="AN9" s="409">
        <v>40</v>
      </c>
      <c r="AO9" s="409">
        <v>41</v>
      </c>
      <c r="AP9" s="409">
        <v>42</v>
      </c>
    </row>
    <row r="10" spans="1:50" s="414" customFormat="1" ht="18.75" customHeight="1">
      <c r="A10" s="527">
        <v>1</v>
      </c>
      <c r="B10" s="532" t="s">
        <v>272</v>
      </c>
      <c r="C10" s="541" t="s">
        <v>275</v>
      </c>
      <c r="D10" s="421" t="s">
        <v>224</v>
      </c>
      <c r="E10" s="421" t="s">
        <v>224</v>
      </c>
      <c r="F10" s="421" t="s">
        <v>224</v>
      </c>
      <c r="G10" s="421" t="s">
        <v>224</v>
      </c>
      <c r="H10" s="421" t="s">
        <v>224</v>
      </c>
      <c r="I10" s="421" t="s">
        <v>224</v>
      </c>
      <c r="J10" s="453" t="s">
        <v>242</v>
      </c>
      <c r="K10" s="421" t="s">
        <v>224</v>
      </c>
      <c r="L10" s="421" t="s">
        <v>224</v>
      </c>
      <c r="M10" s="421" t="s">
        <v>224</v>
      </c>
      <c r="N10" s="421" t="s">
        <v>224</v>
      </c>
      <c r="O10" s="421" t="s">
        <v>224</v>
      </c>
      <c r="P10" s="421" t="s">
        <v>224</v>
      </c>
      <c r="Q10" s="453" t="s">
        <v>242</v>
      </c>
      <c r="R10" s="421" t="s">
        <v>224</v>
      </c>
      <c r="S10" s="421" t="s">
        <v>224</v>
      </c>
      <c r="T10" s="421" t="s">
        <v>224</v>
      </c>
      <c r="U10" s="421" t="s">
        <v>224</v>
      </c>
      <c r="V10" s="421" t="s">
        <v>224</v>
      </c>
      <c r="W10" s="421" t="s">
        <v>224</v>
      </c>
      <c r="X10" s="453" t="s">
        <v>242</v>
      </c>
      <c r="Y10" s="421" t="s">
        <v>224</v>
      </c>
      <c r="Z10" s="421" t="s">
        <v>224</v>
      </c>
      <c r="AA10" s="421" t="s">
        <v>224</v>
      </c>
      <c r="AB10" s="421" t="s">
        <v>224</v>
      </c>
      <c r="AC10" s="421" t="s">
        <v>224</v>
      </c>
      <c r="AD10" s="421" t="s">
        <v>224</v>
      </c>
      <c r="AE10" s="453" t="s">
        <v>242</v>
      </c>
      <c r="AF10" s="421" t="s">
        <v>224</v>
      </c>
      <c r="AG10" s="421" t="s">
        <v>224</v>
      </c>
      <c r="AH10" s="421" t="s">
        <v>224</v>
      </c>
      <c r="AI10" s="411">
        <f>COUNTIF(D10:AH10,"p")+COUNTIF(D10:AH10,"1/p")/2+COUNTIF(D10:AH10,"CĐ")</f>
        <v>0</v>
      </c>
      <c r="AJ10" s="411">
        <f>COUNTIF(D10:AH10,"Ô")+COUNTIF(D10:AH10,"R")+COUNTIF(D10:AH10,"1/2")/2+COUNTIF(D10:AH10,"Ts")</f>
        <v>0</v>
      </c>
      <c r="AK10" s="411">
        <f>COUNTIF(D10:AH10,"Nb")+COUNTIF(D10:AG11,"L")+COUNTIF(D10:AH10,"T")+COUNTIF(D10:AH10,"1/LT")/2</f>
        <v>0</v>
      </c>
      <c r="AL10" s="412">
        <f>SUM(D11:AG11)</f>
        <v>180</v>
      </c>
      <c r="AM10" s="411">
        <f>COUNTIF(D10:AH10,"F1")+COUNTIF(D10:AH10,"1/F1")/2</f>
        <v>0</v>
      </c>
      <c r="AN10" s="411">
        <f>COUNTIF(D10:AH10,"F")+COUNTIF(D10:AH10,"1/lt")/2</f>
        <v>0</v>
      </c>
      <c r="AO10" s="413">
        <f>COUNTIF(D10:AH10,"X")+COUNTIF(D10:AH10,"1/2")/2+COUNTIF(D10:AH10,"1/p")/2+COUNTIF(D10:AH10,"ĐH")</f>
        <v>27</v>
      </c>
      <c r="AP10" s="527"/>
    </row>
    <row r="11" spans="1:50" s="414" customFormat="1" ht="18.75" customHeight="1">
      <c r="A11" s="528"/>
      <c r="B11" s="533"/>
      <c r="C11" s="542"/>
      <c r="D11" s="421"/>
      <c r="E11" s="421">
        <v>12</v>
      </c>
      <c r="F11" s="421"/>
      <c r="G11" s="421">
        <v>12</v>
      </c>
      <c r="H11" s="421"/>
      <c r="I11" s="421">
        <v>12</v>
      </c>
      <c r="J11" s="453"/>
      <c r="K11" s="421">
        <v>12</v>
      </c>
      <c r="L11" s="421"/>
      <c r="M11" s="421">
        <v>12</v>
      </c>
      <c r="N11" s="421"/>
      <c r="O11" s="421">
        <v>12</v>
      </c>
      <c r="P11" s="421"/>
      <c r="Q11" s="453">
        <v>12</v>
      </c>
      <c r="R11" s="421"/>
      <c r="S11" s="421">
        <v>12</v>
      </c>
      <c r="T11" s="421"/>
      <c r="U11" s="421">
        <v>12</v>
      </c>
      <c r="V11" s="421"/>
      <c r="W11" s="421">
        <v>12</v>
      </c>
      <c r="X11" s="453"/>
      <c r="Y11" s="421">
        <v>12</v>
      </c>
      <c r="Z11" s="421"/>
      <c r="AA11" s="421">
        <v>12</v>
      </c>
      <c r="AB11" s="421"/>
      <c r="AC11" s="421">
        <v>12</v>
      </c>
      <c r="AD11" s="421"/>
      <c r="AE11" s="453">
        <v>12</v>
      </c>
      <c r="AF11" s="421"/>
      <c r="AG11" s="421">
        <v>12</v>
      </c>
      <c r="AH11" s="422"/>
      <c r="AI11" s="411"/>
      <c r="AJ11" s="411"/>
      <c r="AK11" s="411"/>
      <c r="AL11" s="412"/>
      <c r="AM11" s="411"/>
      <c r="AN11" s="411">
        <f t="shared" ref="AN11:AN17" si="2">COUNTIF(D11:AH11,"F")+COUNTIF(D11:AH11,"1/lt")/2</f>
        <v>0</v>
      </c>
      <c r="AO11" s="413">
        <f t="shared" ref="AO11" si="3">COUNTIF(D11:AH11,"X")+COUNTIF(D11:AH11,"1/2")/2+COUNTIF(D11:AH11,"1/p")/2+COUNTIF(D11:AH11,"ĐH")</f>
        <v>0</v>
      </c>
      <c r="AP11" s="528"/>
    </row>
    <row r="12" spans="1:50" s="414" customFormat="1" ht="18.75" customHeight="1">
      <c r="A12" s="527">
        <v>2</v>
      </c>
      <c r="B12" s="539" t="s">
        <v>273</v>
      </c>
      <c r="C12" s="541" t="s">
        <v>275</v>
      </c>
      <c r="D12" s="421" t="s">
        <v>224</v>
      </c>
      <c r="E12" s="421" t="s">
        <v>224</v>
      </c>
      <c r="F12" s="421" t="s">
        <v>224</v>
      </c>
      <c r="G12" s="421" t="s">
        <v>224</v>
      </c>
      <c r="H12" s="421" t="s">
        <v>224</v>
      </c>
      <c r="I12" s="421" t="s">
        <v>224</v>
      </c>
      <c r="J12" s="453" t="s">
        <v>224</v>
      </c>
      <c r="K12" s="421" t="s">
        <v>224</v>
      </c>
      <c r="L12" s="421" t="s">
        <v>224</v>
      </c>
      <c r="M12" s="421" t="s">
        <v>213</v>
      </c>
      <c r="N12" s="421" t="s">
        <v>213</v>
      </c>
      <c r="O12" s="421" t="s">
        <v>224</v>
      </c>
      <c r="P12" s="421" t="s">
        <v>224</v>
      </c>
      <c r="Q12" s="453" t="s">
        <v>224</v>
      </c>
      <c r="R12" s="421" t="s">
        <v>224</v>
      </c>
      <c r="S12" s="421" t="s">
        <v>224</v>
      </c>
      <c r="T12" s="421" t="s">
        <v>224</v>
      </c>
      <c r="U12" s="421" t="s">
        <v>224</v>
      </c>
      <c r="V12" s="421" t="s">
        <v>224</v>
      </c>
      <c r="W12" s="421" t="s">
        <v>224</v>
      </c>
      <c r="X12" s="453" t="s">
        <v>224</v>
      </c>
      <c r="Y12" s="421" t="s">
        <v>224</v>
      </c>
      <c r="Z12" s="421" t="s">
        <v>224</v>
      </c>
      <c r="AA12" s="421" t="s">
        <v>224</v>
      </c>
      <c r="AB12" s="421" t="s">
        <v>224</v>
      </c>
      <c r="AC12" s="421" t="s">
        <v>224</v>
      </c>
      <c r="AD12" s="421" t="s">
        <v>224</v>
      </c>
      <c r="AE12" s="453" t="s">
        <v>224</v>
      </c>
      <c r="AF12" s="421" t="s">
        <v>224</v>
      </c>
      <c r="AG12" s="421" t="s">
        <v>224</v>
      </c>
      <c r="AH12" s="421" t="s">
        <v>224</v>
      </c>
      <c r="AI12" s="411">
        <f>COUNTIF(D12:AH12,"p")+COUNTIF(D12:AH12,"1/p")/2+COUNTIF(D12:AH12,"CĐ")</f>
        <v>2</v>
      </c>
      <c r="AJ12" s="411">
        <f>COUNTIF(D12:AH12,"Ô")+COUNTIF(D12:AH12,"R")+COUNTIF(D12:AH12,"1/2")/2+COUNTIF(D12:AH12,"Ts")</f>
        <v>0</v>
      </c>
      <c r="AK12" s="411">
        <f>COUNTIF(D12:AH12,"Nb")+COUNTIF(D12:AG13,"L")+COUNTIF(D12:AH12,"T")+COUNTIF(D12:AH12,"1/LT")/2</f>
        <v>0</v>
      </c>
      <c r="AL12" s="412"/>
      <c r="AM12" s="411">
        <f>COUNTIF(D12:AH12,"F1")+COUNTIF(D12:AH12,"1/F1")/2</f>
        <v>0</v>
      </c>
      <c r="AN12" s="411">
        <f t="shared" si="2"/>
        <v>0</v>
      </c>
      <c r="AO12" s="413">
        <f>COUNTIF(D12:AH12,"X")+COUNTIF(D12:AH12,"1/2")/2+COUNTIF(D12:AH12,"1/p")/2+COUNTIF(D12:AH12,"ĐH")</f>
        <v>29</v>
      </c>
      <c r="AP12" s="534"/>
    </row>
    <row r="13" spans="1:50" s="414" customFormat="1" ht="18.75" customHeight="1">
      <c r="A13" s="528"/>
      <c r="B13" s="540"/>
      <c r="C13" s="542"/>
      <c r="D13" s="421">
        <v>12</v>
      </c>
      <c r="E13" s="421"/>
      <c r="F13" s="421">
        <v>12</v>
      </c>
      <c r="G13" s="421"/>
      <c r="H13" s="421">
        <v>12</v>
      </c>
      <c r="I13" s="421"/>
      <c r="J13" s="453">
        <v>12</v>
      </c>
      <c r="K13" s="421"/>
      <c r="L13" s="421">
        <v>12</v>
      </c>
      <c r="M13" s="421"/>
      <c r="N13" s="421">
        <v>12</v>
      </c>
      <c r="O13" s="421"/>
      <c r="P13" s="421">
        <v>12</v>
      </c>
      <c r="Q13" s="453">
        <v>12</v>
      </c>
      <c r="R13" s="421">
        <v>12</v>
      </c>
      <c r="S13" s="421"/>
      <c r="T13" s="421">
        <v>12</v>
      </c>
      <c r="U13" s="421"/>
      <c r="V13" s="421">
        <v>12</v>
      </c>
      <c r="W13" s="421"/>
      <c r="X13" s="453">
        <v>12</v>
      </c>
      <c r="Y13" s="421"/>
      <c r="Z13" s="421">
        <v>12</v>
      </c>
      <c r="AA13" s="421"/>
      <c r="AB13" s="421">
        <v>12</v>
      </c>
      <c r="AC13" s="421"/>
      <c r="AD13" s="421">
        <v>12</v>
      </c>
      <c r="AE13" s="453"/>
      <c r="AF13" s="421">
        <v>12</v>
      </c>
      <c r="AG13" s="421"/>
      <c r="AH13" s="422">
        <v>12</v>
      </c>
      <c r="AI13" s="411">
        <f t="shared" ref="AI13:AI17" si="4">COUNTIF(D13:AH13,"p")+COUNTIF(D13:AH13,"1/p")/2+COUNTIF(D13:AH13,"CĐ")</f>
        <v>0</v>
      </c>
      <c r="AJ13" s="411">
        <f t="shared" ref="AJ13:AJ17" si="5">COUNTIF(D13:AH13,"Ô")+COUNTIF(D13:AH13,"R")+COUNTIF(D13:AH13,"1/2")/2+COUNTIF(D13:AH13,"Ts")</f>
        <v>0</v>
      </c>
      <c r="AK13" s="411"/>
      <c r="AL13" s="412">
        <f>SUM(D13:AH13)</f>
        <v>204</v>
      </c>
      <c r="AM13" s="411">
        <f t="shared" ref="AM13:AM14" si="6">COUNTIF(D13:AH13,"F1")+COUNTIF(D13:AH13,"1/F1")/2</f>
        <v>0</v>
      </c>
      <c r="AN13" s="411">
        <f t="shared" si="2"/>
        <v>0</v>
      </c>
      <c r="AO13" s="413">
        <f>COUNTIF(D13:AH13,"X")+COUNTIF(D13:AH13,"1/2")/2+COUNTIF(D13:AH13,"1/p")/2+COUNTIF(D13:AH13,"ĐH")</f>
        <v>0</v>
      </c>
      <c r="AP13" s="535"/>
    </row>
    <row r="14" spans="1:50" s="414" customFormat="1" ht="18.75" customHeight="1">
      <c r="A14" s="527">
        <v>3</v>
      </c>
      <c r="B14" s="551" t="s">
        <v>307</v>
      </c>
      <c r="C14" s="541" t="s">
        <v>275</v>
      </c>
      <c r="D14" s="421" t="s">
        <v>224</v>
      </c>
      <c r="E14" s="421" t="s">
        <v>224</v>
      </c>
      <c r="F14" s="421" t="s">
        <v>224</v>
      </c>
      <c r="G14" s="455" t="s">
        <v>224</v>
      </c>
      <c r="H14" s="421" t="s">
        <v>224</v>
      </c>
      <c r="I14" s="421" t="s">
        <v>224</v>
      </c>
      <c r="J14" s="453" t="s">
        <v>224</v>
      </c>
      <c r="K14" s="421" t="s">
        <v>224</v>
      </c>
      <c r="L14" s="421" t="s">
        <v>224</v>
      </c>
      <c r="M14" s="421" t="s">
        <v>224</v>
      </c>
      <c r="N14" s="421" t="s">
        <v>224</v>
      </c>
      <c r="O14" s="421" t="s">
        <v>224</v>
      </c>
      <c r="P14" s="421" t="s">
        <v>224</v>
      </c>
      <c r="Q14" s="453"/>
      <c r="R14" s="421" t="s">
        <v>224</v>
      </c>
      <c r="S14" s="421" t="s">
        <v>224</v>
      </c>
      <c r="T14" s="421" t="s">
        <v>224</v>
      </c>
      <c r="U14" s="421" t="s">
        <v>224</v>
      </c>
      <c r="V14" s="421" t="s">
        <v>224</v>
      </c>
      <c r="W14" s="421" t="s">
        <v>224</v>
      </c>
      <c r="X14" s="453" t="s">
        <v>224</v>
      </c>
      <c r="Y14" s="421" t="s">
        <v>224</v>
      </c>
      <c r="Z14" s="421" t="s">
        <v>224</v>
      </c>
      <c r="AA14" s="455" t="s">
        <v>224</v>
      </c>
      <c r="AB14" s="455" t="s">
        <v>224</v>
      </c>
      <c r="AC14" s="421" t="s">
        <v>224</v>
      </c>
      <c r="AD14" s="421" t="s">
        <v>224</v>
      </c>
      <c r="AE14" s="453" t="s">
        <v>224</v>
      </c>
      <c r="AF14" s="421" t="s">
        <v>224</v>
      </c>
      <c r="AG14" s="421" t="s">
        <v>224</v>
      </c>
      <c r="AH14" s="421" t="s">
        <v>224</v>
      </c>
      <c r="AI14" s="411">
        <f t="shared" si="4"/>
        <v>0</v>
      </c>
      <c r="AJ14" s="411">
        <f t="shared" si="5"/>
        <v>0</v>
      </c>
      <c r="AK14" s="411">
        <f>COUNTIF(D14:AH14,"Nb")+COUNTIF(D14:AH14,"L")+COUNTIF(D14:AH14,"T")+COUNTIF(D14:AH14,"1/LT")/2</f>
        <v>0</v>
      </c>
      <c r="AL14" s="412"/>
      <c r="AM14" s="411">
        <f t="shared" si="6"/>
        <v>0</v>
      </c>
      <c r="AN14" s="411">
        <f t="shared" si="2"/>
        <v>0</v>
      </c>
      <c r="AO14" s="413">
        <f>COUNTIF(D14:AH14,"X")+COUNTIF(D14:AH14,"1/2")/2+COUNTIF(D14:AH14,"1/p")/2+COUNTIF(D14:AH14,"ĐH")</f>
        <v>30</v>
      </c>
      <c r="AP14" s="527"/>
    </row>
    <row r="15" spans="1:50" s="414" customFormat="1" ht="18.75" customHeight="1">
      <c r="A15" s="528"/>
      <c r="B15" s="551"/>
      <c r="C15" s="542"/>
      <c r="D15" s="421"/>
      <c r="E15" s="421"/>
      <c r="F15" s="421"/>
      <c r="G15" s="455"/>
      <c r="H15" s="421"/>
      <c r="I15" s="421"/>
      <c r="J15" s="453"/>
      <c r="K15" s="421"/>
      <c r="L15" s="421"/>
      <c r="M15" s="421"/>
      <c r="N15" s="421"/>
      <c r="O15" s="455"/>
      <c r="P15" s="421"/>
      <c r="Q15" s="453"/>
      <c r="R15" s="421"/>
      <c r="S15" s="421"/>
      <c r="T15" s="421"/>
      <c r="U15" s="421"/>
      <c r="V15" s="421"/>
      <c r="W15" s="421"/>
      <c r="X15" s="453"/>
      <c r="Y15" s="421"/>
      <c r="Z15" s="421"/>
      <c r="AA15" s="421"/>
      <c r="AB15" s="421"/>
      <c r="AC15" s="421"/>
      <c r="AD15" s="421"/>
      <c r="AE15" s="453"/>
      <c r="AF15" s="421"/>
      <c r="AG15" s="421"/>
      <c r="AH15" s="444"/>
      <c r="AI15" s="411">
        <f t="shared" si="4"/>
        <v>0</v>
      </c>
      <c r="AJ15" s="411">
        <f t="shared" si="5"/>
        <v>0</v>
      </c>
      <c r="AK15" s="411"/>
      <c r="AL15" s="412">
        <f>SUM(D15:AH15)</f>
        <v>0</v>
      </c>
      <c r="AM15" s="411">
        <f>COUNTIF(D15:AH15,"F1")+COUNTIF(D15:AH15,"1/F1")/2</f>
        <v>0</v>
      </c>
      <c r="AN15" s="411">
        <f t="shared" si="2"/>
        <v>0</v>
      </c>
      <c r="AO15" s="413">
        <f t="shared" ref="AO15:AO17" si="7">COUNTIF(D15:AH15,"X")+COUNTIF(D15:AH15,"1/2")/2+COUNTIF(D15:AH15,"1/p")/2+COUNTIF(D15:AH15,"ĐH")</f>
        <v>0</v>
      </c>
      <c r="AP15" s="528"/>
    </row>
    <row r="16" spans="1:50" s="414" customFormat="1" ht="18.75" customHeight="1">
      <c r="A16" s="552">
        <v>4</v>
      </c>
      <c r="B16" s="551" t="s">
        <v>333</v>
      </c>
      <c r="C16" s="550" t="s">
        <v>275</v>
      </c>
      <c r="D16" s="421" t="s">
        <v>224</v>
      </c>
      <c r="E16" s="421" t="s">
        <v>224</v>
      </c>
      <c r="F16" s="421" t="s">
        <v>224</v>
      </c>
      <c r="G16" s="455" t="s">
        <v>224</v>
      </c>
      <c r="H16" s="421" t="s">
        <v>224</v>
      </c>
      <c r="I16" s="421" t="s">
        <v>224</v>
      </c>
      <c r="J16" s="453" t="s">
        <v>224</v>
      </c>
      <c r="K16" s="421" t="s">
        <v>224</v>
      </c>
      <c r="L16" s="421" t="s">
        <v>224</v>
      </c>
      <c r="M16" s="421" t="s">
        <v>224</v>
      </c>
      <c r="N16" s="421" t="s">
        <v>224</v>
      </c>
      <c r="O16" s="455" t="s">
        <v>224</v>
      </c>
      <c r="P16" s="421" t="s">
        <v>224</v>
      </c>
      <c r="Q16" s="453" t="s">
        <v>224</v>
      </c>
      <c r="R16" s="421" t="s">
        <v>224</v>
      </c>
      <c r="S16" s="421" t="s">
        <v>224</v>
      </c>
      <c r="T16" s="421" t="s">
        <v>224</v>
      </c>
      <c r="U16" s="421" t="s">
        <v>224</v>
      </c>
      <c r="V16" s="421" t="s">
        <v>224</v>
      </c>
      <c r="W16" s="421" t="s">
        <v>224</v>
      </c>
      <c r="X16" s="453" t="s">
        <v>224</v>
      </c>
      <c r="Y16" s="421" t="s">
        <v>224</v>
      </c>
      <c r="Z16" s="421" t="s">
        <v>224</v>
      </c>
      <c r="AA16" s="421" t="s">
        <v>224</v>
      </c>
      <c r="AB16" s="421" t="s">
        <v>224</v>
      </c>
      <c r="AC16" s="421" t="s">
        <v>224</v>
      </c>
      <c r="AD16" s="421" t="s">
        <v>224</v>
      </c>
      <c r="AE16" s="453" t="s">
        <v>224</v>
      </c>
      <c r="AF16" s="421" t="s">
        <v>224</v>
      </c>
      <c r="AG16" s="421" t="s">
        <v>224</v>
      </c>
      <c r="AH16" s="421" t="s">
        <v>224</v>
      </c>
      <c r="AI16" s="411">
        <f t="shared" si="4"/>
        <v>0</v>
      </c>
      <c r="AJ16" s="411">
        <f t="shared" si="5"/>
        <v>0</v>
      </c>
      <c r="AK16" s="411">
        <f>COUNTIF(D16:AH16,"Nb")+COUNTIF(D16:AH16,"L")+COUNTIF(D16:AH16,"T")+COUNTIF(D16:AH16,"1/LT")/2</f>
        <v>0</v>
      </c>
      <c r="AL16" s="412"/>
      <c r="AM16" s="411">
        <f t="shared" ref="AM16:AM17" si="8">COUNTIF(D16:AH16,"F1")+COUNTIF(D16:AH16,"1/F1")/2</f>
        <v>0</v>
      </c>
      <c r="AN16" s="411">
        <f t="shared" si="2"/>
        <v>0</v>
      </c>
      <c r="AO16" s="413">
        <f t="shared" si="7"/>
        <v>31</v>
      </c>
      <c r="AP16" s="421"/>
    </row>
    <row r="17" spans="1:42" s="414" customFormat="1" ht="18.75" customHeight="1">
      <c r="A17" s="552"/>
      <c r="B17" s="551"/>
      <c r="C17" s="550"/>
      <c r="D17" s="421"/>
      <c r="E17" s="421"/>
      <c r="F17" s="421"/>
      <c r="G17" s="455"/>
      <c r="H17" s="421"/>
      <c r="I17" s="421"/>
      <c r="J17" s="453"/>
      <c r="K17" s="421"/>
      <c r="L17" s="421"/>
      <c r="M17" s="421"/>
      <c r="N17" s="421"/>
      <c r="O17" s="455"/>
      <c r="P17" s="421"/>
      <c r="Q17" s="453"/>
      <c r="R17" s="421"/>
      <c r="S17" s="421"/>
      <c r="T17" s="421"/>
      <c r="U17" s="421"/>
      <c r="V17" s="421"/>
      <c r="W17" s="421"/>
      <c r="X17" s="453"/>
      <c r="Y17" s="421"/>
      <c r="Z17" s="421"/>
      <c r="AA17" s="421"/>
      <c r="AB17" s="421"/>
      <c r="AC17" s="421"/>
      <c r="AD17" s="421"/>
      <c r="AE17" s="453"/>
      <c r="AF17" s="421"/>
      <c r="AG17" s="421"/>
      <c r="AH17" s="421"/>
      <c r="AI17" s="411">
        <f t="shared" si="4"/>
        <v>0</v>
      </c>
      <c r="AJ17" s="411">
        <f t="shared" si="5"/>
        <v>0</v>
      </c>
      <c r="AK17" s="411"/>
      <c r="AL17" s="412">
        <f>SUM(D17:AH17)</f>
        <v>0</v>
      </c>
      <c r="AM17" s="411">
        <f t="shared" si="8"/>
        <v>0</v>
      </c>
      <c r="AN17" s="411">
        <f t="shared" si="2"/>
        <v>0</v>
      </c>
      <c r="AO17" s="413">
        <f t="shared" si="7"/>
        <v>0</v>
      </c>
      <c r="AP17" s="421"/>
    </row>
    <row r="18" spans="1:42" s="414" customFormat="1" ht="53.25" customHeight="1">
      <c r="A18" s="543" t="s">
        <v>202</v>
      </c>
      <c r="B18" s="544"/>
      <c r="C18" s="545"/>
      <c r="D18" s="553"/>
      <c r="E18" s="554"/>
      <c r="F18" s="554"/>
      <c r="G18" s="554"/>
      <c r="H18" s="554"/>
      <c r="I18" s="554"/>
      <c r="J18" s="554"/>
      <c r="K18" s="554"/>
      <c r="L18" s="554"/>
      <c r="M18" s="554"/>
      <c r="N18" s="554"/>
      <c r="O18" s="554"/>
      <c r="P18" s="554"/>
      <c r="Q18" s="554"/>
      <c r="R18" s="554"/>
      <c r="S18" s="554"/>
      <c r="T18" s="554"/>
      <c r="U18" s="554"/>
      <c r="V18" s="554"/>
      <c r="W18" s="554"/>
      <c r="X18" s="554"/>
      <c r="Y18" s="554"/>
      <c r="Z18" s="554"/>
      <c r="AA18" s="554"/>
      <c r="AB18" s="554"/>
      <c r="AC18" s="554"/>
      <c r="AD18" s="554"/>
      <c r="AE18" s="554"/>
      <c r="AF18" s="554"/>
      <c r="AG18" s="554"/>
      <c r="AH18" s="554"/>
      <c r="AI18" s="554"/>
      <c r="AJ18" s="554"/>
      <c r="AK18" s="554"/>
      <c r="AL18" s="554"/>
      <c r="AM18" s="554"/>
      <c r="AN18" s="554"/>
      <c r="AO18" s="555"/>
      <c r="AP18" s="421"/>
    </row>
    <row r="19" spans="1:42" s="414" customFormat="1" ht="20.25" customHeight="1">
      <c r="A19" s="83"/>
      <c r="B19" s="28" t="s">
        <v>306</v>
      </c>
      <c r="C19" s="378"/>
      <c r="D19" s="378"/>
      <c r="E19" s="378"/>
      <c r="F19" s="378"/>
      <c r="G19" s="378"/>
      <c r="H19" s="378"/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S19" s="384"/>
      <c r="T19" s="384"/>
      <c r="U19" s="384"/>
      <c r="V19" s="384"/>
      <c r="W19" s="384"/>
      <c r="X19" s="384"/>
      <c r="Y19" s="384"/>
      <c r="Z19" s="384"/>
      <c r="AA19" s="384"/>
      <c r="AB19" s="384"/>
      <c r="AC19" s="384"/>
      <c r="AD19" s="384"/>
      <c r="AE19" s="384"/>
      <c r="AF19" s="384"/>
      <c r="AG19" s="384"/>
      <c r="AH19" s="384"/>
      <c r="AO19" s="378"/>
      <c r="AP19" s="378"/>
    </row>
    <row r="20" spans="1:42" s="394" customFormat="1" ht="18.75" customHeight="1">
      <c r="A20" s="393"/>
      <c r="B20" s="441" t="s">
        <v>263</v>
      </c>
      <c r="C20" s="381"/>
      <c r="D20" s="381"/>
      <c r="E20" s="417"/>
      <c r="F20" s="417"/>
      <c r="G20" s="418"/>
      <c r="H20" s="417"/>
      <c r="I20" s="417"/>
      <c r="J20" s="419"/>
      <c r="K20" s="419"/>
      <c r="L20" s="419"/>
      <c r="M20" s="419"/>
      <c r="N20" s="419"/>
      <c r="S20" s="549" t="s">
        <v>262</v>
      </c>
      <c r="T20" s="549"/>
      <c r="U20" s="549"/>
      <c r="V20" s="549"/>
      <c r="W20" s="549"/>
      <c r="X20" s="549"/>
      <c r="Y20" s="419"/>
      <c r="Z20" s="419"/>
      <c r="AA20" s="419"/>
      <c r="AB20" s="419"/>
      <c r="AC20" s="419"/>
      <c r="AD20" s="419"/>
      <c r="AE20" s="419"/>
      <c r="AF20" s="419"/>
      <c r="AG20" s="419"/>
      <c r="AH20" s="419"/>
      <c r="AI20" s="381"/>
      <c r="AJ20" s="381"/>
      <c r="AK20" s="381"/>
      <c r="AL20" s="381"/>
      <c r="AM20" s="381"/>
      <c r="AN20" s="381"/>
      <c r="AO20" s="549" t="s">
        <v>317</v>
      </c>
      <c r="AP20" s="549"/>
    </row>
    <row r="21" spans="1:42" s="380" customFormat="1" ht="20.25" customHeight="1">
      <c r="A21" s="83"/>
      <c r="B21" s="83"/>
      <c r="C21" s="83"/>
      <c r="D21" s="378"/>
      <c r="E21" s="385"/>
      <c r="F21" s="385"/>
      <c r="G21" s="401"/>
      <c r="H21" s="385"/>
      <c r="I21" s="385"/>
      <c r="J21" s="385"/>
      <c r="K21" s="385"/>
      <c r="L21" s="385"/>
      <c r="M21" s="385"/>
      <c r="N21" s="385"/>
      <c r="T21" s="378"/>
      <c r="U21" s="378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79"/>
      <c r="AJ21" s="379"/>
      <c r="AK21" s="379"/>
      <c r="AL21" s="397"/>
      <c r="AM21" s="379"/>
      <c r="AN21" s="379"/>
      <c r="AO21" s="378"/>
      <c r="AP21" s="378"/>
    </row>
    <row r="22" spans="1:42" s="380" customFormat="1" ht="18.75" customHeight="1">
      <c r="A22" s="83"/>
      <c r="B22" s="83"/>
      <c r="C22" s="83"/>
      <c r="D22" s="378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T22" s="378"/>
      <c r="U22" s="378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79"/>
      <c r="AJ22" s="379"/>
      <c r="AK22" s="379"/>
      <c r="AL22" s="397"/>
      <c r="AM22" s="379"/>
      <c r="AN22" s="379"/>
      <c r="AO22" s="378"/>
      <c r="AP22" s="378"/>
    </row>
    <row r="23" spans="1:42" s="380" customFormat="1" ht="20.25" customHeight="1">
      <c r="A23" s="83"/>
      <c r="B23" s="83"/>
      <c r="C23" s="83"/>
      <c r="D23" s="83"/>
      <c r="E23" s="400"/>
      <c r="F23" s="400"/>
      <c r="G23" s="400"/>
      <c r="H23" s="400"/>
      <c r="I23" s="400"/>
      <c r="J23" s="400"/>
      <c r="K23" s="400"/>
      <c r="L23" s="400"/>
      <c r="M23" s="400"/>
      <c r="N23" s="400"/>
      <c r="T23" s="83"/>
      <c r="U23" s="83"/>
      <c r="V23" s="400"/>
      <c r="W23" s="400"/>
      <c r="X23" s="400"/>
      <c r="Y23" s="400"/>
      <c r="Z23" s="400"/>
      <c r="AA23" s="400"/>
      <c r="AB23" s="400"/>
      <c r="AC23" s="400"/>
      <c r="AD23" s="400"/>
      <c r="AE23" s="400"/>
      <c r="AF23" s="400"/>
      <c r="AG23" s="400"/>
      <c r="AH23" s="400"/>
      <c r="AI23" s="83"/>
      <c r="AJ23" s="83"/>
      <c r="AK23" s="83"/>
      <c r="AL23" s="398"/>
      <c r="AM23" s="83"/>
      <c r="AN23" s="83"/>
      <c r="AO23" s="83"/>
      <c r="AP23" s="83"/>
    </row>
    <row r="24" spans="1:42" s="392" customFormat="1" ht="27" customHeight="1">
      <c r="A24" s="440"/>
      <c r="B24" s="439" t="s">
        <v>318</v>
      </c>
      <c r="C24" s="28"/>
      <c r="D24" s="28"/>
      <c r="E24" s="391"/>
      <c r="F24" s="391"/>
      <c r="G24" s="391"/>
      <c r="H24" s="391"/>
      <c r="I24" s="391"/>
      <c r="J24" s="391"/>
      <c r="K24" s="391"/>
      <c r="L24" s="391"/>
      <c r="M24" s="391"/>
      <c r="N24" s="391"/>
      <c r="S24" s="465" t="s">
        <v>319</v>
      </c>
      <c r="T24" s="465"/>
      <c r="U24" s="465"/>
      <c r="V24" s="465"/>
      <c r="W24" s="465"/>
      <c r="X24" s="465"/>
      <c r="Y24" s="391"/>
      <c r="Z24" s="391"/>
      <c r="AA24" s="391"/>
      <c r="AB24" s="391"/>
      <c r="AC24" s="391"/>
      <c r="AD24" s="391"/>
      <c r="AE24" s="391"/>
      <c r="AF24" s="391"/>
      <c r="AG24" s="391"/>
      <c r="AH24" s="391"/>
      <c r="AI24" s="395"/>
      <c r="AJ24" s="395"/>
      <c r="AK24" s="395"/>
      <c r="AL24" s="399"/>
      <c r="AM24" s="395"/>
      <c r="AN24" s="395"/>
      <c r="AO24" s="465" t="s">
        <v>320</v>
      </c>
      <c r="AP24" s="465"/>
    </row>
    <row r="25" spans="1:42" s="380" customFormat="1" ht="20.25" customHeight="1">
      <c r="A25" s="382"/>
      <c r="B25" s="415"/>
      <c r="C25" s="415" t="s">
        <v>259</v>
      </c>
      <c r="D25" s="382"/>
      <c r="E25" s="385"/>
      <c r="F25" s="385"/>
      <c r="G25" s="385"/>
      <c r="H25" s="385"/>
      <c r="I25" s="385"/>
      <c r="J25" s="385"/>
      <c r="K25" s="385"/>
      <c r="L25" s="385"/>
      <c r="M25" s="386"/>
      <c r="N25" s="387"/>
      <c r="O25" s="385"/>
      <c r="P25" s="385"/>
      <c r="Q25" s="385"/>
      <c r="R25" s="385"/>
      <c r="S25" s="385"/>
      <c r="T25" s="385"/>
      <c r="U25" s="385"/>
      <c r="W25" s="416"/>
      <c r="X25" s="416"/>
      <c r="Y25" s="385"/>
      <c r="Z25" s="416" t="s">
        <v>227</v>
      </c>
      <c r="AO25" s="378"/>
      <c r="AP25" s="378"/>
    </row>
    <row r="26" spans="1:42" s="380" customFormat="1" ht="18.75" customHeight="1">
      <c r="A26" s="83"/>
      <c r="B26" s="83"/>
      <c r="C26" s="83"/>
      <c r="D26" s="385" t="s">
        <v>224</v>
      </c>
      <c r="E26" s="385" t="s">
        <v>323</v>
      </c>
      <c r="F26" s="385"/>
      <c r="G26" s="385"/>
      <c r="H26" s="385"/>
      <c r="I26" s="385"/>
      <c r="J26" s="385"/>
      <c r="K26" s="385"/>
      <c r="L26" s="385"/>
      <c r="M26" s="385"/>
      <c r="N26" s="386" t="s">
        <v>223</v>
      </c>
      <c r="O26" s="387" t="s">
        <v>241</v>
      </c>
      <c r="P26" s="385" t="s">
        <v>226</v>
      </c>
      <c r="Q26" s="385"/>
      <c r="R26" s="385"/>
      <c r="S26" s="385"/>
      <c r="T26" s="385"/>
      <c r="U26" s="385"/>
      <c r="V26" s="385"/>
      <c r="W26" s="385"/>
      <c r="X26" s="385"/>
      <c r="Y26" s="385"/>
      <c r="AB26" s="386" t="s">
        <v>223</v>
      </c>
      <c r="AC26" s="388"/>
      <c r="AD26" s="385" t="s">
        <v>228</v>
      </c>
      <c r="AE26" s="385"/>
      <c r="AF26" s="385"/>
      <c r="AG26" s="385"/>
      <c r="AH26" s="385"/>
      <c r="AI26" s="385"/>
      <c r="AJ26" s="385"/>
      <c r="AK26" s="379"/>
      <c r="AL26" s="379"/>
      <c r="AM26" s="379"/>
      <c r="AN26" s="397"/>
      <c r="AO26" s="379"/>
      <c r="AP26" s="379"/>
    </row>
    <row r="27" spans="1:42" s="380" customFormat="1" ht="20.25" customHeight="1">
      <c r="A27" s="83"/>
      <c r="B27" s="83"/>
      <c r="C27" s="83"/>
      <c r="D27" s="385" t="s">
        <v>213</v>
      </c>
      <c r="E27" s="385" t="s">
        <v>229</v>
      </c>
      <c r="F27" s="385"/>
      <c r="G27" s="385"/>
      <c r="H27" s="385"/>
      <c r="I27" s="385"/>
      <c r="J27" s="385"/>
      <c r="K27" s="385"/>
      <c r="L27" s="385"/>
      <c r="M27" s="385"/>
      <c r="N27" s="386" t="s">
        <v>223</v>
      </c>
      <c r="O27" s="385" t="s">
        <v>220</v>
      </c>
      <c r="P27" s="385" t="s">
        <v>230</v>
      </c>
      <c r="Q27" s="385"/>
      <c r="R27" s="385"/>
      <c r="S27" s="385"/>
      <c r="T27" s="385"/>
      <c r="U27" s="385"/>
      <c r="V27" s="385"/>
      <c r="W27" s="385"/>
      <c r="X27" s="385"/>
      <c r="Y27" s="385"/>
      <c r="AB27" s="386" t="s">
        <v>223</v>
      </c>
      <c r="AC27" s="388"/>
      <c r="AD27" s="385" t="s">
        <v>231</v>
      </c>
      <c r="AE27" s="385"/>
      <c r="AF27" s="385"/>
      <c r="AG27" s="385"/>
      <c r="AH27" s="385"/>
      <c r="AI27" s="386"/>
      <c r="AJ27" s="385"/>
      <c r="AK27" s="379"/>
      <c r="AL27" s="379"/>
      <c r="AM27" s="379"/>
      <c r="AN27" s="397"/>
      <c r="AO27" s="379"/>
      <c r="AP27" s="379"/>
    </row>
    <row r="28" spans="1:42" s="380" customFormat="1" ht="18.75" customHeight="1">
      <c r="A28" s="83"/>
      <c r="B28" s="83"/>
      <c r="C28" s="83"/>
      <c r="D28" s="385" t="s">
        <v>219</v>
      </c>
      <c r="E28" s="385" t="s">
        <v>232</v>
      </c>
      <c r="F28" s="385"/>
      <c r="G28" s="385"/>
      <c r="H28" s="385"/>
      <c r="I28" s="385"/>
      <c r="J28" s="385"/>
      <c r="K28" s="385"/>
      <c r="L28" s="385"/>
      <c r="M28" s="385"/>
      <c r="N28" s="386" t="s">
        <v>223</v>
      </c>
      <c r="O28" s="385" t="s">
        <v>218</v>
      </c>
      <c r="P28" s="385" t="s">
        <v>233</v>
      </c>
      <c r="Q28" s="385"/>
      <c r="R28" s="385"/>
      <c r="S28" s="384"/>
      <c r="T28" s="384"/>
      <c r="U28" s="385"/>
      <c r="V28" s="385"/>
      <c r="W28" s="385"/>
      <c r="X28" s="385"/>
      <c r="Y28" s="385"/>
      <c r="AB28" s="386"/>
      <c r="AC28" s="396" t="s">
        <v>256</v>
      </c>
      <c r="AD28" s="385" t="s">
        <v>257</v>
      </c>
      <c r="AE28" s="385"/>
      <c r="AF28" s="385"/>
      <c r="AG28" s="385"/>
      <c r="AH28" s="385"/>
      <c r="AI28" s="386"/>
      <c r="AJ28" s="385"/>
      <c r="AK28" s="379"/>
      <c r="AL28" s="379"/>
      <c r="AM28" s="379"/>
      <c r="AN28" s="397"/>
      <c r="AO28" s="379"/>
      <c r="AP28" s="379"/>
    </row>
    <row r="29" spans="1:42" s="380" customFormat="1" ht="20.25" customHeight="1">
      <c r="A29" s="83"/>
      <c r="B29" s="83"/>
      <c r="C29" s="83"/>
      <c r="D29" s="385" t="s">
        <v>234</v>
      </c>
      <c r="E29" s="385" t="s">
        <v>235</v>
      </c>
      <c r="F29" s="385"/>
      <c r="G29" s="385"/>
      <c r="H29" s="385"/>
      <c r="I29" s="385"/>
      <c r="J29" s="385"/>
      <c r="K29" s="385"/>
      <c r="L29" s="385"/>
      <c r="M29" s="385"/>
      <c r="N29" s="389" t="s">
        <v>223</v>
      </c>
      <c r="O29" s="384" t="s">
        <v>221</v>
      </c>
      <c r="P29" s="384" t="s">
        <v>244</v>
      </c>
      <c r="Q29" s="384"/>
      <c r="R29" s="384"/>
      <c r="S29" s="384"/>
      <c r="T29" s="384"/>
      <c r="U29" s="385"/>
      <c r="V29" s="385"/>
      <c r="W29" s="385"/>
      <c r="X29" s="385"/>
      <c r="Y29" s="385"/>
      <c r="AB29" s="386"/>
      <c r="AC29" s="385"/>
      <c r="AD29" s="385" t="s">
        <v>264</v>
      </c>
      <c r="AE29" s="385"/>
      <c r="AF29" s="385"/>
      <c r="AG29" s="385"/>
      <c r="AH29" s="385"/>
      <c r="AI29" s="385"/>
      <c r="AJ29" s="385"/>
      <c r="AK29" s="379"/>
      <c r="AL29" s="379"/>
      <c r="AM29" s="379"/>
      <c r="AN29" s="397"/>
      <c r="AO29" s="379"/>
      <c r="AP29" s="379"/>
    </row>
    <row r="30" spans="1:42" s="380" customFormat="1" ht="18.75" customHeight="1">
      <c r="A30" s="83"/>
      <c r="B30" s="83"/>
      <c r="C30" s="83"/>
      <c r="D30" s="390" t="s">
        <v>245</v>
      </c>
      <c r="E30" s="385" t="s">
        <v>246</v>
      </c>
      <c r="F30" s="385"/>
      <c r="G30" s="385"/>
      <c r="H30" s="385"/>
      <c r="I30" s="385"/>
      <c r="J30" s="385"/>
      <c r="K30" s="385"/>
      <c r="L30" s="385"/>
      <c r="M30" s="385"/>
      <c r="N30" s="389" t="s">
        <v>223</v>
      </c>
      <c r="O30" s="384" t="s">
        <v>247</v>
      </c>
      <c r="P30" s="384" t="s">
        <v>248</v>
      </c>
      <c r="Q30" s="384"/>
      <c r="R30" s="384"/>
      <c r="S30" s="384"/>
      <c r="T30" s="384"/>
      <c r="U30" s="385"/>
      <c r="V30" s="385"/>
      <c r="W30" s="385"/>
      <c r="X30" s="385"/>
      <c r="Y30" s="385"/>
      <c r="Z30" s="385"/>
      <c r="AA30" s="385"/>
      <c r="AB30" s="386"/>
      <c r="AC30" s="383" t="s">
        <v>216</v>
      </c>
      <c r="AD30" s="385" t="s">
        <v>258</v>
      </c>
      <c r="AE30" s="385"/>
      <c r="AF30" s="385"/>
      <c r="AG30" s="385"/>
      <c r="AH30" s="385"/>
      <c r="AI30" s="385"/>
      <c r="AJ30" s="385"/>
      <c r="AK30" s="379"/>
      <c r="AL30" s="379"/>
      <c r="AM30" s="379"/>
      <c r="AN30" s="397"/>
      <c r="AO30" s="379"/>
      <c r="AP30" s="379"/>
    </row>
    <row r="31" spans="1:42" s="380" customFormat="1" ht="20.25" customHeight="1">
      <c r="A31" s="83"/>
      <c r="B31" s="83"/>
      <c r="C31" s="83"/>
      <c r="D31" s="390" t="s">
        <v>249</v>
      </c>
      <c r="E31" s="385" t="s">
        <v>250</v>
      </c>
      <c r="F31" s="385"/>
      <c r="G31" s="385"/>
      <c r="H31" s="385"/>
      <c r="I31" s="385"/>
      <c r="J31" s="385"/>
      <c r="K31" s="385"/>
      <c r="L31" s="385"/>
      <c r="M31" s="385"/>
      <c r="N31" s="386" t="s">
        <v>223</v>
      </c>
      <c r="O31" s="385" t="s">
        <v>222</v>
      </c>
      <c r="P31" s="385" t="s">
        <v>251</v>
      </c>
      <c r="Q31" s="385"/>
      <c r="R31" s="385"/>
      <c r="S31" s="385"/>
      <c r="T31" s="384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79"/>
      <c r="AJ31" s="379"/>
      <c r="AK31" s="379"/>
      <c r="AL31" s="397"/>
      <c r="AM31" s="379"/>
      <c r="AN31" s="379"/>
      <c r="AO31" s="378"/>
      <c r="AP31" s="378"/>
    </row>
    <row r="32" spans="1:42" s="380" customFormat="1" ht="18.75" customHeight="1">
      <c r="A32" s="83"/>
      <c r="B32" s="83"/>
      <c r="C32" s="83"/>
      <c r="D32" s="385" t="s">
        <v>236</v>
      </c>
      <c r="E32" s="385" t="s">
        <v>237</v>
      </c>
      <c r="F32" s="385"/>
      <c r="G32" s="385"/>
      <c r="H32" s="385"/>
      <c r="I32" s="385"/>
      <c r="J32" s="385"/>
      <c r="K32" s="385"/>
      <c r="L32" s="385"/>
      <c r="M32" s="385"/>
      <c r="N32" s="386" t="s">
        <v>223</v>
      </c>
      <c r="O32" s="385" t="s">
        <v>217</v>
      </c>
      <c r="P32" s="385" t="s">
        <v>240</v>
      </c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79"/>
      <c r="AJ32" s="379"/>
      <c r="AK32" s="379"/>
      <c r="AL32" s="397"/>
      <c r="AM32" s="379"/>
      <c r="AN32" s="379"/>
      <c r="AO32" s="378"/>
      <c r="AP32" s="378"/>
    </row>
    <row r="33" spans="1:42" s="380" customFormat="1" ht="20.25" customHeight="1">
      <c r="A33" s="83"/>
      <c r="B33" s="83"/>
      <c r="C33" s="83"/>
      <c r="D33" s="384" t="s">
        <v>238</v>
      </c>
      <c r="E33" s="384" t="s">
        <v>239</v>
      </c>
      <c r="F33" s="384"/>
      <c r="G33" s="384"/>
      <c r="H33" s="385"/>
      <c r="I33" s="385"/>
      <c r="J33" s="385"/>
      <c r="K33" s="385"/>
      <c r="L33" s="385"/>
      <c r="M33" s="385"/>
      <c r="N33" s="386" t="s">
        <v>223</v>
      </c>
      <c r="O33" s="385" t="s">
        <v>242</v>
      </c>
      <c r="P33" s="385" t="s">
        <v>252</v>
      </c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5"/>
      <c r="AF33" s="385"/>
      <c r="AG33" s="385"/>
      <c r="AH33" s="385"/>
      <c r="AI33" s="379"/>
      <c r="AJ33" s="379"/>
      <c r="AK33" s="379"/>
      <c r="AL33" s="397"/>
      <c r="AM33" s="379"/>
      <c r="AN33" s="379"/>
      <c r="AO33" s="378"/>
      <c r="AP33" s="378"/>
    </row>
    <row r="34" spans="1:42" s="380" customFormat="1" ht="18.75" customHeight="1">
      <c r="A34" s="83"/>
      <c r="B34" s="83"/>
      <c r="C34" s="83"/>
      <c r="D34" s="378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385"/>
      <c r="AH34" s="385"/>
      <c r="AI34" s="379"/>
      <c r="AJ34" s="379"/>
      <c r="AK34" s="379"/>
      <c r="AL34" s="397"/>
      <c r="AM34" s="379"/>
      <c r="AN34" s="379"/>
      <c r="AO34" s="378"/>
      <c r="AP34" s="378"/>
    </row>
    <row r="35" spans="1:42" s="380" customFormat="1" ht="20.25" customHeight="1">
      <c r="A35" s="83"/>
      <c r="B35" s="83"/>
      <c r="C35" s="83"/>
      <c r="D35" s="378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5"/>
      <c r="AF35" s="385"/>
      <c r="AG35" s="385"/>
      <c r="AH35" s="385"/>
      <c r="AI35" s="379"/>
      <c r="AJ35" s="379"/>
      <c r="AK35" s="379"/>
      <c r="AL35" s="397"/>
      <c r="AM35" s="379"/>
      <c r="AN35" s="379"/>
      <c r="AO35" s="378"/>
      <c r="AP35" s="378"/>
    </row>
    <row r="36" spans="1:42" s="380" customFormat="1" ht="18.75" customHeight="1">
      <c r="A36" s="83"/>
      <c r="B36" s="83"/>
      <c r="C36" s="83"/>
      <c r="D36" s="378"/>
      <c r="E36" s="385"/>
      <c r="F36" s="385"/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85"/>
      <c r="AG36" s="385"/>
      <c r="AH36" s="385"/>
      <c r="AI36" s="379"/>
      <c r="AJ36" s="379"/>
      <c r="AK36" s="379"/>
      <c r="AL36" s="397"/>
      <c r="AM36" s="379"/>
      <c r="AN36" s="379"/>
      <c r="AO36" s="378"/>
      <c r="AP36" s="378"/>
    </row>
    <row r="37" spans="1:42" s="380" customFormat="1" ht="17.399999999999999" customHeight="1">
      <c r="A37" s="83"/>
      <c r="B37" s="83"/>
      <c r="C37" s="83"/>
      <c r="D37" s="385"/>
      <c r="E37" s="385"/>
      <c r="F37" s="385"/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79"/>
      <c r="AJ37" s="379"/>
      <c r="AK37" s="379"/>
      <c r="AL37" s="397"/>
      <c r="AM37" s="379"/>
      <c r="AN37" s="379"/>
      <c r="AO37" s="378"/>
      <c r="AP37" s="378"/>
    </row>
    <row r="38" spans="1:42" ht="17.399999999999999" customHeight="1"/>
    <row r="39" spans="1:42" s="381" customFormat="1" ht="16.8">
      <c r="A39" s="83"/>
      <c r="B39" s="83"/>
      <c r="C39" s="83"/>
      <c r="D39" s="378"/>
      <c r="E39" s="385"/>
      <c r="F39" s="385"/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79"/>
      <c r="AJ39" s="379"/>
      <c r="AK39" s="379"/>
      <c r="AL39" s="397"/>
      <c r="AM39" s="379"/>
      <c r="AN39" s="379"/>
      <c r="AO39" s="378"/>
      <c r="AP39" s="378"/>
    </row>
    <row r="42" spans="1:42" s="83" customFormat="1">
      <c r="D42" s="378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79"/>
      <c r="AJ42" s="379"/>
      <c r="AK42" s="379"/>
      <c r="AL42" s="397"/>
      <c r="AM42" s="379"/>
      <c r="AN42" s="379"/>
      <c r="AO42" s="378"/>
      <c r="AP42" s="378"/>
    </row>
  </sheetData>
  <mergeCells count="38">
    <mergeCell ref="A14:A15"/>
    <mergeCell ref="B14:B15"/>
    <mergeCell ref="C14:C15"/>
    <mergeCell ref="AK6:AK8"/>
    <mergeCell ref="AL6:AL8"/>
    <mergeCell ref="A12:A13"/>
    <mergeCell ref="B12:B13"/>
    <mergeCell ref="C12:C13"/>
    <mergeCell ref="A10:A11"/>
    <mergeCell ref="B10:B11"/>
    <mergeCell ref="C10:C11"/>
    <mergeCell ref="AI6:AI8"/>
    <mergeCell ref="AJ6:AJ8"/>
    <mergeCell ref="AM6:AM8"/>
    <mergeCell ref="AN6:AN8"/>
    <mergeCell ref="AP14:AP15"/>
    <mergeCell ref="AP12:AP13"/>
    <mergeCell ref="AP10:AP11"/>
    <mergeCell ref="S24:X24"/>
    <mergeCell ref="AO24:AP24"/>
    <mergeCell ref="A18:C18"/>
    <mergeCell ref="D18:AO18"/>
    <mergeCell ref="A2:K2"/>
    <mergeCell ref="A3:J3"/>
    <mergeCell ref="A4:AP4"/>
    <mergeCell ref="A5:A8"/>
    <mergeCell ref="B5:B8"/>
    <mergeCell ref="C5:C8"/>
    <mergeCell ref="D5:AH6"/>
    <mergeCell ref="AI5:AK5"/>
    <mergeCell ref="AL5:AN5"/>
    <mergeCell ref="AO5:AO8"/>
    <mergeCell ref="AP5:AP8"/>
    <mergeCell ref="C16:C17"/>
    <mergeCell ref="B16:B17"/>
    <mergeCell ref="A16:A17"/>
    <mergeCell ref="S20:X20"/>
    <mergeCell ref="AO20:AP20"/>
  </mergeCells>
  <printOptions horizontalCentered="1"/>
  <pageMargins left="0.17" right="0.17" top="0.39" bottom="0.14000000000000001" header="0.17" footer="0.11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EB69-E3B2-4BF6-91E4-1F54769D275E}">
  <dimension ref="A1:AX80"/>
  <sheetViews>
    <sheetView zoomScale="90" zoomScaleNormal="90" workbookViewId="0">
      <pane xSplit="3" ySplit="9" topLeftCell="D10" activePane="bottomRight" state="frozen"/>
      <selection activeCell="B62" sqref="B62"/>
      <selection pane="topRight" activeCell="B62" sqref="B62"/>
      <selection pane="bottomLeft" activeCell="B62" sqref="B62"/>
      <selection pane="bottomRight" activeCell="AI12" sqref="AI12"/>
    </sheetView>
  </sheetViews>
  <sheetFormatPr defaultColWidth="9" defaultRowHeight="13.8"/>
  <cols>
    <col min="1" max="1" width="3.5" style="83" customWidth="1"/>
    <col min="2" max="2" width="25.09765625" style="83" customWidth="1"/>
    <col min="3" max="3" width="14.3984375" style="83" customWidth="1"/>
    <col min="4" max="5" width="4" style="378" customWidth="1"/>
    <col min="6" max="34" width="4" style="385" customWidth="1"/>
    <col min="35" max="35" width="5.19921875" style="379" customWidth="1"/>
    <col min="36" max="37" width="5.5" style="379" customWidth="1"/>
    <col min="38" max="38" width="6.09765625" style="397" customWidth="1"/>
    <col min="39" max="39" width="6.5" style="379" customWidth="1"/>
    <col min="40" max="40" width="6.8984375" style="379" customWidth="1"/>
    <col min="41" max="41" width="7.19921875" style="378" customWidth="1"/>
    <col min="42" max="42" width="21.19921875" style="378" customWidth="1"/>
    <col min="43" max="16384" width="9" style="378"/>
  </cols>
  <sheetData>
    <row r="1" spans="1:50" s="28" customFormat="1" ht="18" customHeight="1">
      <c r="A1" s="495" t="s">
        <v>260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02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3"/>
      <c r="AM1" s="423"/>
      <c r="AN1" s="423"/>
      <c r="AO1" s="423"/>
      <c r="AP1" s="423"/>
      <c r="AQ1" s="103"/>
      <c r="AR1" s="103"/>
      <c r="AS1" s="103"/>
      <c r="AT1" s="103"/>
      <c r="AU1" s="103"/>
      <c r="AV1" s="103"/>
      <c r="AW1" s="103"/>
      <c r="AX1" s="103"/>
    </row>
    <row r="2" spans="1:50" s="28" customFormat="1" ht="18" customHeight="1">
      <c r="A2" s="496" t="s">
        <v>271</v>
      </c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04"/>
      <c r="M2" s="404"/>
      <c r="N2" s="405"/>
      <c r="O2" s="405"/>
      <c r="P2" s="405"/>
      <c r="Q2" s="405"/>
      <c r="R2" s="405"/>
      <c r="S2" s="403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  <c r="AP2" s="402"/>
    </row>
    <row r="3" spans="1:50" s="28" customFormat="1" ht="10.5" customHeight="1">
      <c r="A3" s="497"/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04"/>
      <c r="M3" s="404"/>
      <c r="N3" s="405"/>
      <c r="O3" s="405"/>
      <c r="P3" s="405"/>
      <c r="Q3" s="405"/>
      <c r="R3" s="405"/>
      <c r="S3" s="403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</row>
    <row r="4" spans="1:50" s="328" customFormat="1" ht="30.75" customHeight="1">
      <c r="A4" s="498" t="str">
        <f>"BẢNG CHẤM CÔNG BỘ PHẬN BẢO VỆ THÁNG "&amp;TEXT(MONTH($D$7),"00")&amp;" NĂM 2025"</f>
        <v>BẢNG CHẤM CÔNG BỘ PHẬN BẢO VỆ THÁNG 12 NĂM 2025</v>
      </c>
      <c r="B4" s="498"/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8"/>
      <c r="U4" s="498"/>
      <c r="V4" s="498"/>
      <c r="W4" s="498"/>
      <c r="X4" s="498"/>
      <c r="Y4" s="498"/>
      <c r="Z4" s="498"/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8"/>
      <c r="AP4" s="498"/>
    </row>
    <row r="5" spans="1:50" ht="20.25" customHeight="1">
      <c r="A5" s="556" t="s">
        <v>0</v>
      </c>
      <c r="B5" s="557" t="s">
        <v>174</v>
      </c>
      <c r="C5" s="556" t="s">
        <v>208</v>
      </c>
      <c r="D5" s="558" t="s">
        <v>209</v>
      </c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  <c r="AH5" s="559"/>
      <c r="AI5" s="510" t="s">
        <v>210</v>
      </c>
      <c r="AJ5" s="511"/>
      <c r="AK5" s="512"/>
      <c r="AL5" s="513" t="s">
        <v>211</v>
      </c>
      <c r="AM5" s="514"/>
      <c r="AN5" s="514"/>
      <c r="AO5" s="501" t="s">
        <v>212</v>
      </c>
      <c r="AP5" s="515" t="s">
        <v>178</v>
      </c>
    </row>
    <row r="6" spans="1:50" s="406" customFormat="1" ht="20.25" customHeight="1">
      <c r="A6" s="556"/>
      <c r="B6" s="557"/>
      <c r="C6" s="556"/>
      <c r="D6" s="561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  <c r="R6" s="562"/>
      <c r="S6" s="562"/>
      <c r="T6" s="562"/>
      <c r="U6" s="562"/>
      <c r="V6" s="562"/>
      <c r="W6" s="562"/>
      <c r="X6" s="562"/>
      <c r="Y6" s="562"/>
      <c r="Z6" s="562"/>
      <c r="AA6" s="562"/>
      <c r="AB6" s="562"/>
      <c r="AC6" s="562"/>
      <c r="AD6" s="562"/>
      <c r="AE6" s="562"/>
      <c r="AF6" s="562"/>
      <c r="AG6" s="562"/>
      <c r="AH6" s="562"/>
      <c r="AI6" s="518" t="s">
        <v>253</v>
      </c>
      <c r="AJ6" s="521" t="s">
        <v>255</v>
      </c>
      <c r="AK6" s="521" t="s">
        <v>214</v>
      </c>
      <c r="AL6" s="524" t="s">
        <v>243</v>
      </c>
      <c r="AM6" s="521" t="s">
        <v>254</v>
      </c>
      <c r="AN6" s="521" t="s">
        <v>215</v>
      </c>
      <c r="AO6" s="502"/>
      <c r="AP6" s="516"/>
    </row>
    <row r="7" spans="1:50" s="406" customFormat="1" ht="32.25" customHeight="1">
      <c r="A7" s="556"/>
      <c r="B7" s="557"/>
      <c r="C7" s="556"/>
      <c r="D7" s="445">
        <v>45992</v>
      </c>
      <c r="E7" s="445">
        <f>D7+1</f>
        <v>45993</v>
      </c>
      <c r="F7" s="445">
        <f t="shared" ref="F7:AH7" si="0">E7+1</f>
        <v>45994</v>
      </c>
      <c r="G7" s="445">
        <f t="shared" si="0"/>
        <v>45995</v>
      </c>
      <c r="H7" s="445">
        <f t="shared" si="0"/>
        <v>45996</v>
      </c>
      <c r="I7" s="445">
        <f t="shared" si="0"/>
        <v>45997</v>
      </c>
      <c r="J7" s="447">
        <f t="shared" si="0"/>
        <v>45998</v>
      </c>
      <c r="K7" s="445">
        <f t="shared" si="0"/>
        <v>45999</v>
      </c>
      <c r="L7" s="407">
        <f t="shared" si="0"/>
        <v>46000</v>
      </c>
      <c r="M7" s="407">
        <f t="shared" si="0"/>
        <v>46001</v>
      </c>
      <c r="N7" s="407">
        <f t="shared" si="0"/>
        <v>46002</v>
      </c>
      <c r="O7" s="407">
        <f t="shared" si="0"/>
        <v>46003</v>
      </c>
      <c r="P7" s="407">
        <f t="shared" si="0"/>
        <v>46004</v>
      </c>
      <c r="Q7" s="425">
        <f t="shared" si="0"/>
        <v>46005</v>
      </c>
      <c r="R7" s="407">
        <f t="shared" si="0"/>
        <v>46006</v>
      </c>
      <c r="S7" s="407">
        <f t="shared" si="0"/>
        <v>46007</v>
      </c>
      <c r="T7" s="407">
        <f t="shared" si="0"/>
        <v>46008</v>
      </c>
      <c r="U7" s="407">
        <f t="shared" si="0"/>
        <v>46009</v>
      </c>
      <c r="V7" s="407">
        <f t="shared" si="0"/>
        <v>46010</v>
      </c>
      <c r="W7" s="407">
        <f t="shared" si="0"/>
        <v>46011</v>
      </c>
      <c r="X7" s="425">
        <f t="shared" si="0"/>
        <v>46012</v>
      </c>
      <c r="Y7" s="407">
        <f t="shared" si="0"/>
        <v>46013</v>
      </c>
      <c r="Z7" s="407">
        <f t="shared" si="0"/>
        <v>46014</v>
      </c>
      <c r="AA7" s="407">
        <f t="shared" si="0"/>
        <v>46015</v>
      </c>
      <c r="AB7" s="407">
        <f t="shared" si="0"/>
        <v>46016</v>
      </c>
      <c r="AC7" s="407">
        <f t="shared" si="0"/>
        <v>46017</v>
      </c>
      <c r="AD7" s="407">
        <f t="shared" si="0"/>
        <v>46018</v>
      </c>
      <c r="AE7" s="425">
        <f t="shared" si="0"/>
        <v>46019</v>
      </c>
      <c r="AF7" s="407">
        <f t="shared" si="0"/>
        <v>46020</v>
      </c>
      <c r="AG7" s="407">
        <f t="shared" si="0"/>
        <v>46021</v>
      </c>
      <c r="AH7" s="407">
        <f t="shared" si="0"/>
        <v>46022</v>
      </c>
      <c r="AI7" s="519"/>
      <c r="AJ7" s="522"/>
      <c r="AK7" s="522"/>
      <c r="AL7" s="525"/>
      <c r="AM7" s="522"/>
      <c r="AN7" s="522"/>
      <c r="AO7" s="502"/>
      <c r="AP7" s="516"/>
    </row>
    <row r="8" spans="1:50" s="406" customFormat="1" ht="19.5" customHeight="1">
      <c r="A8" s="556"/>
      <c r="B8" s="557"/>
      <c r="C8" s="556"/>
      <c r="D8" s="408" t="str">
        <f>IF("T"&amp;(WEEKDAY(D7))="T1","CN","T"&amp;(WEEKDAY(D7)))</f>
        <v>T2</v>
      </c>
      <c r="E8" s="408" t="str">
        <f>IF("T"&amp;(WEEKDAY(E7))="T1","CN","T"&amp;(WEEKDAY(E7)))</f>
        <v>T3</v>
      </c>
      <c r="F8" s="408" t="str">
        <f>IF("T"&amp;(WEEKDAY(F7))="T1","CN","T"&amp;(WEEKDAY(F7)))</f>
        <v>T4</v>
      </c>
      <c r="G8" s="408" t="str">
        <f t="shared" ref="G8:AH8" si="1">IF("T"&amp;(WEEKDAY(G7))="T1","CN","T"&amp;(WEEKDAY(G7)))</f>
        <v>T5</v>
      </c>
      <c r="H8" s="408" t="str">
        <f t="shared" si="1"/>
        <v>T6</v>
      </c>
      <c r="I8" s="408" t="str">
        <f t="shared" si="1"/>
        <v>T7</v>
      </c>
      <c r="J8" s="426" t="str">
        <f t="shared" si="1"/>
        <v>CN</v>
      </c>
      <c r="K8" s="408" t="str">
        <f t="shared" si="1"/>
        <v>T2</v>
      </c>
      <c r="L8" s="408" t="str">
        <f t="shared" si="1"/>
        <v>T3</v>
      </c>
      <c r="M8" s="408" t="str">
        <f t="shared" si="1"/>
        <v>T4</v>
      </c>
      <c r="N8" s="408" t="str">
        <f>IF("T"&amp;(WEEKDAY(N7))="T1","CN","T"&amp;(WEEKDAY(N7)))</f>
        <v>T5</v>
      </c>
      <c r="O8" s="408" t="str">
        <f t="shared" si="1"/>
        <v>T6</v>
      </c>
      <c r="P8" s="408" t="str">
        <f t="shared" si="1"/>
        <v>T7</v>
      </c>
      <c r="Q8" s="426" t="str">
        <f t="shared" si="1"/>
        <v>CN</v>
      </c>
      <c r="R8" s="408" t="str">
        <f t="shared" si="1"/>
        <v>T2</v>
      </c>
      <c r="S8" s="408" t="str">
        <f t="shared" si="1"/>
        <v>T3</v>
      </c>
      <c r="T8" s="408" t="str">
        <f t="shared" si="1"/>
        <v>T4</v>
      </c>
      <c r="U8" s="408" t="str">
        <f t="shared" si="1"/>
        <v>T5</v>
      </c>
      <c r="V8" s="408" t="str">
        <f t="shared" si="1"/>
        <v>T6</v>
      </c>
      <c r="W8" s="408" t="str">
        <f t="shared" si="1"/>
        <v>T7</v>
      </c>
      <c r="X8" s="426" t="str">
        <f t="shared" si="1"/>
        <v>CN</v>
      </c>
      <c r="Y8" s="408" t="str">
        <f t="shared" si="1"/>
        <v>T2</v>
      </c>
      <c r="Z8" s="408" t="str">
        <f t="shared" si="1"/>
        <v>T3</v>
      </c>
      <c r="AA8" s="408" t="str">
        <f t="shared" si="1"/>
        <v>T4</v>
      </c>
      <c r="AB8" s="408" t="str">
        <f t="shared" si="1"/>
        <v>T5</v>
      </c>
      <c r="AC8" s="408" t="str">
        <f t="shared" si="1"/>
        <v>T6</v>
      </c>
      <c r="AD8" s="408" t="str">
        <f t="shared" si="1"/>
        <v>T7</v>
      </c>
      <c r="AE8" s="426" t="str">
        <f t="shared" si="1"/>
        <v>CN</v>
      </c>
      <c r="AF8" s="408" t="str">
        <f t="shared" si="1"/>
        <v>T2</v>
      </c>
      <c r="AG8" s="408" t="str">
        <f t="shared" si="1"/>
        <v>T3</v>
      </c>
      <c r="AH8" s="408" t="str">
        <f t="shared" si="1"/>
        <v>T4</v>
      </c>
      <c r="AI8" s="520"/>
      <c r="AJ8" s="523"/>
      <c r="AK8" s="523"/>
      <c r="AL8" s="526"/>
      <c r="AM8" s="523"/>
      <c r="AN8" s="523"/>
      <c r="AO8" s="503"/>
      <c r="AP8" s="517"/>
    </row>
    <row r="9" spans="1:50" s="406" customFormat="1" ht="14.25" customHeight="1">
      <c r="A9" s="410">
        <v>1</v>
      </c>
      <c r="B9" s="406">
        <v>2</v>
      </c>
      <c r="C9" s="410">
        <v>3</v>
      </c>
      <c r="D9" s="458">
        <v>4</v>
      </c>
      <c r="E9" s="458">
        <v>5</v>
      </c>
      <c r="F9" s="458">
        <v>6</v>
      </c>
      <c r="G9" s="458">
        <v>7</v>
      </c>
      <c r="H9" s="458">
        <v>8</v>
      </c>
      <c r="I9" s="458">
        <v>9</v>
      </c>
      <c r="J9" s="458">
        <v>10</v>
      </c>
      <c r="K9" s="458">
        <v>11</v>
      </c>
      <c r="L9" s="458">
        <v>12</v>
      </c>
      <c r="M9" s="458">
        <v>13</v>
      </c>
      <c r="N9" s="458">
        <v>14</v>
      </c>
      <c r="O9" s="458">
        <v>15</v>
      </c>
      <c r="P9" s="458">
        <v>16</v>
      </c>
      <c r="Q9" s="458">
        <v>17</v>
      </c>
      <c r="R9" s="458">
        <v>18</v>
      </c>
      <c r="S9" s="458">
        <v>19</v>
      </c>
      <c r="T9" s="458">
        <v>20</v>
      </c>
      <c r="U9" s="458">
        <v>21</v>
      </c>
      <c r="V9" s="458">
        <v>22</v>
      </c>
      <c r="W9" s="458">
        <v>23</v>
      </c>
      <c r="X9" s="458">
        <v>24</v>
      </c>
      <c r="Y9" s="458">
        <v>25</v>
      </c>
      <c r="Z9" s="458">
        <v>26</v>
      </c>
      <c r="AA9" s="458">
        <v>27</v>
      </c>
      <c r="AB9" s="458">
        <v>28</v>
      </c>
      <c r="AC9" s="458">
        <v>29</v>
      </c>
      <c r="AD9" s="458">
        <v>30</v>
      </c>
      <c r="AE9" s="458">
        <v>31</v>
      </c>
      <c r="AF9" s="458">
        <v>32</v>
      </c>
      <c r="AG9" s="458">
        <v>33</v>
      </c>
      <c r="AH9" s="458">
        <v>34</v>
      </c>
      <c r="AI9" s="409">
        <v>35</v>
      </c>
      <c r="AJ9" s="409">
        <v>36</v>
      </c>
      <c r="AK9" s="409">
        <v>37</v>
      </c>
      <c r="AL9" s="409">
        <v>38</v>
      </c>
      <c r="AM9" s="409">
        <v>39</v>
      </c>
      <c r="AN9" s="409">
        <v>40</v>
      </c>
      <c r="AO9" s="409">
        <v>41</v>
      </c>
      <c r="AP9" s="409">
        <v>42</v>
      </c>
    </row>
    <row r="10" spans="1:50" s="414" customFormat="1" ht="18.75" customHeight="1">
      <c r="A10" s="527">
        <v>1</v>
      </c>
      <c r="B10" s="564" t="s">
        <v>284</v>
      </c>
      <c r="C10" s="501" t="s">
        <v>290</v>
      </c>
      <c r="D10" s="421" t="s">
        <v>224</v>
      </c>
      <c r="E10" s="421" t="s">
        <v>224</v>
      </c>
      <c r="F10" s="421" t="s">
        <v>224</v>
      </c>
      <c r="G10" s="421" t="s">
        <v>224</v>
      </c>
      <c r="H10" s="421" t="s">
        <v>224</v>
      </c>
      <c r="I10" s="421" t="s">
        <v>224</v>
      </c>
      <c r="J10" s="428" t="s">
        <v>224</v>
      </c>
      <c r="K10" s="421" t="s">
        <v>224</v>
      </c>
      <c r="L10" s="421" t="s">
        <v>224</v>
      </c>
      <c r="M10" s="421" t="s">
        <v>224</v>
      </c>
      <c r="N10" s="421" t="s">
        <v>224</v>
      </c>
      <c r="O10" s="421" t="s">
        <v>224</v>
      </c>
      <c r="P10" s="421" t="s">
        <v>224</v>
      </c>
      <c r="Q10" s="428" t="s">
        <v>224</v>
      </c>
      <c r="R10" s="421" t="s">
        <v>224</v>
      </c>
      <c r="S10" s="421" t="s">
        <v>224</v>
      </c>
      <c r="T10" s="421" t="s">
        <v>224</v>
      </c>
      <c r="U10" s="421" t="s">
        <v>224</v>
      </c>
      <c r="V10" s="421" t="s">
        <v>224</v>
      </c>
      <c r="W10" s="421" t="s">
        <v>224</v>
      </c>
      <c r="X10" s="428" t="s">
        <v>224</v>
      </c>
      <c r="Y10" s="421" t="s">
        <v>224</v>
      </c>
      <c r="Z10" s="421" t="s">
        <v>224</v>
      </c>
      <c r="AA10" s="421" t="s">
        <v>224</v>
      </c>
      <c r="AB10" s="421" t="s">
        <v>224</v>
      </c>
      <c r="AC10" s="421" t="s">
        <v>224</v>
      </c>
      <c r="AD10" s="421" t="s">
        <v>224</v>
      </c>
      <c r="AE10" s="428" t="s">
        <v>224</v>
      </c>
      <c r="AF10" s="421" t="s">
        <v>224</v>
      </c>
      <c r="AG10" s="421" t="s">
        <v>224</v>
      </c>
      <c r="AH10" s="421" t="s">
        <v>224</v>
      </c>
      <c r="AI10" s="411">
        <f>COUNTIF(D10:AH10,"p")+COUNTIF(D10:AH10,"1/p")/2+COUNTIF(D10:AH10,"CĐ")</f>
        <v>0</v>
      </c>
      <c r="AJ10" s="411">
        <f>COUNTIF(D10:AH10,"Ô")+COUNTIF(D10:AH10,"R")+COUNTIF(D10:AH10,"1/2")/2+COUNTIF(D10:AH10,"Ts")</f>
        <v>0</v>
      </c>
      <c r="AK10" s="411">
        <f>COUNTIF(D10:AH10,"Nb")+COUNTIF(D10:AH10,"L")+COUNTIF(D10:AH10,"T")+COUNTIF(D10:AH10,"1/LT")/2</f>
        <v>0</v>
      </c>
      <c r="AL10" s="412">
        <f>SUM(D11:AH11)</f>
        <v>36</v>
      </c>
      <c r="AM10" s="411">
        <f>COUNTIF(D10:AH10,"F1")+COUNTIF(D10:AH10,"1/F1")/2</f>
        <v>0</v>
      </c>
      <c r="AN10" s="411">
        <f>COUNTIF(D10:AH10,"F")+COUNTIF(D10:AH10,"1/lt")/2</f>
        <v>0</v>
      </c>
      <c r="AO10" s="413">
        <f>COUNTIF(D10:AH10,"X")+COUNTIF(D10:AH10,"1/2")/2+COUNTIF(D10:AH10,"1/p")/2+COUNTIF(D10:AH10,"ĐH")</f>
        <v>31</v>
      </c>
      <c r="AP10" s="534"/>
    </row>
    <row r="11" spans="1:50" s="414" customFormat="1" ht="18.75" customHeight="1">
      <c r="A11" s="528"/>
      <c r="B11" s="564"/>
      <c r="C11" s="503"/>
      <c r="D11" s="442"/>
      <c r="E11" s="442"/>
      <c r="F11" s="427"/>
      <c r="G11" s="427"/>
      <c r="H11" s="427"/>
      <c r="I11" s="427"/>
      <c r="J11" s="429"/>
      <c r="K11" s="427"/>
      <c r="L11" s="427"/>
      <c r="M11" s="427"/>
      <c r="N11" s="427"/>
      <c r="O11" s="427"/>
      <c r="P11" s="427"/>
      <c r="Q11" s="429"/>
      <c r="R11" s="427"/>
      <c r="S11" s="427"/>
      <c r="T11" s="427"/>
      <c r="U11" s="427"/>
      <c r="V11" s="427"/>
      <c r="W11" s="427">
        <v>12</v>
      </c>
      <c r="X11" s="429"/>
      <c r="Y11" s="427"/>
      <c r="Z11" s="427">
        <v>12</v>
      </c>
      <c r="AA11" s="427">
        <v>12</v>
      </c>
      <c r="AB11" s="427"/>
      <c r="AC11" s="427"/>
      <c r="AD11" s="427"/>
      <c r="AE11" s="429"/>
      <c r="AF11" s="427"/>
      <c r="AG11" s="427"/>
      <c r="AH11" s="427"/>
      <c r="AI11" s="411"/>
      <c r="AJ11" s="411"/>
      <c r="AK11" s="411"/>
      <c r="AL11" s="412"/>
      <c r="AM11" s="411"/>
      <c r="AN11" s="411"/>
      <c r="AO11" s="413"/>
      <c r="AP11" s="535"/>
    </row>
    <row r="12" spans="1:50" s="414" customFormat="1" ht="20.25" customHeight="1">
      <c r="A12" s="527">
        <v>2</v>
      </c>
      <c r="B12" s="564" t="s">
        <v>324</v>
      </c>
      <c r="C12" s="501" t="s">
        <v>312</v>
      </c>
      <c r="D12" s="421" t="s">
        <v>224</v>
      </c>
      <c r="E12" s="421" t="s">
        <v>224</v>
      </c>
      <c r="F12" s="421" t="s">
        <v>224</v>
      </c>
      <c r="G12" s="421" t="s">
        <v>224</v>
      </c>
      <c r="H12" s="421" t="s">
        <v>224</v>
      </c>
      <c r="I12" s="421" t="s">
        <v>224</v>
      </c>
      <c r="J12" s="428" t="s">
        <v>224</v>
      </c>
      <c r="K12" s="421" t="s">
        <v>224</v>
      </c>
      <c r="L12" s="421" t="s">
        <v>224</v>
      </c>
      <c r="M12" s="421" t="s">
        <v>224</v>
      </c>
      <c r="N12" s="421" t="s">
        <v>224</v>
      </c>
      <c r="O12" s="421" t="s">
        <v>224</v>
      </c>
      <c r="P12" s="421" t="s">
        <v>224</v>
      </c>
      <c r="Q12" s="428" t="s">
        <v>224</v>
      </c>
      <c r="R12" s="421" t="s">
        <v>224</v>
      </c>
      <c r="S12" s="421" t="s">
        <v>224</v>
      </c>
      <c r="T12" s="421" t="s">
        <v>224</v>
      </c>
      <c r="U12" s="421" t="s">
        <v>224</v>
      </c>
      <c r="V12" s="421" t="s">
        <v>224</v>
      </c>
      <c r="W12" s="421" t="s">
        <v>224</v>
      </c>
      <c r="X12" s="428" t="s">
        <v>224</v>
      </c>
      <c r="Y12" s="421" t="s">
        <v>224</v>
      </c>
      <c r="Z12" s="421" t="s">
        <v>224</v>
      </c>
      <c r="AA12" s="421" t="s">
        <v>224</v>
      </c>
      <c r="AB12" s="421" t="s">
        <v>224</v>
      </c>
      <c r="AC12" s="421" t="s">
        <v>224</v>
      </c>
      <c r="AD12" s="421" t="s">
        <v>224</v>
      </c>
      <c r="AE12" s="428" t="s">
        <v>224</v>
      </c>
      <c r="AF12" s="421" t="s">
        <v>224</v>
      </c>
      <c r="AG12" s="421" t="s">
        <v>224</v>
      </c>
      <c r="AH12" s="421" t="s">
        <v>224</v>
      </c>
      <c r="AI12" s="411">
        <f>COUNTIF(D12:AH12,"p")+COUNTIF(D12:AH12,"1/p")/2+COUNTIF(D12:AH12,"CĐ")</f>
        <v>0</v>
      </c>
      <c r="AJ12" s="411">
        <f>COUNTIF(D12:AH12,"Ô")+COUNTIF(D12:AH12,"R")+COUNTIF(D12:AH12,"1/2")/2+COUNTIF(D12:AH12,"Ts")</f>
        <v>0</v>
      </c>
      <c r="AK12" s="411">
        <f>COUNTIF(D12:AH12,"Nb")+COUNTIF(D12:AH12,"L")+COUNTIF(D12:AH12,"T")+COUNTIF(D12:AH12,"1/LT")/2</f>
        <v>0</v>
      </c>
      <c r="AL12" s="412">
        <f>SUM(D13:AH13)</f>
        <v>12</v>
      </c>
      <c r="AM12" s="411">
        <f t="shared" ref="AM12" si="2">COUNTIF(D12:AH12,"F1")+COUNTIF(D12:AH12,"1/F1")/2</f>
        <v>0</v>
      </c>
      <c r="AN12" s="411">
        <f t="shared" ref="AN12" si="3">COUNTIF(D12:AH12,"F")+COUNTIF(D12:AH12,"1/lt")/2</f>
        <v>0</v>
      </c>
      <c r="AO12" s="413">
        <f>COUNTIF(D12:AH12,"X")+COUNTIF(D12:AH12,"1/2")/2+COUNTIF(D12:AH12,"1/p")/2+COUNTIF(D12:AH12,"ĐH")</f>
        <v>31</v>
      </c>
      <c r="AP12" s="527"/>
    </row>
    <row r="13" spans="1:50" s="414" customFormat="1" ht="20.25" customHeight="1">
      <c r="A13" s="528"/>
      <c r="B13" s="564"/>
      <c r="C13" s="517"/>
      <c r="D13" s="442"/>
      <c r="E13" s="442"/>
      <c r="F13" s="427"/>
      <c r="G13" s="427"/>
      <c r="H13" s="427"/>
      <c r="I13" s="427"/>
      <c r="J13" s="429"/>
      <c r="K13" s="427"/>
      <c r="L13" s="427"/>
      <c r="M13" s="427"/>
      <c r="N13" s="427"/>
      <c r="O13" s="427"/>
      <c r="P13" s="427"/>
      <c r="Q13" s="429"/>
      <c r="R13" s="427"/>
      <c r="S13" s="427"/>
      <c r="T13" s="427"/>
      <c r="U13" s="427"/>
      <c r="V13" s="427"/>
      <c r="W13" s="427"/>
      <c r="X13" s="429"/>
      <c r="Y13" s="427"/>
      <c r="Z13" s="427">
        <v>6</v>
      </c>
      <c r="AA13" s="427">
        <v>6</v>
      </c>
      <c r="AB13" s="427"/>
      <c r="AC13" s="427"/>
      <c r="AD13" s="427"/>
      <c r="AE13" s="429"/>
      <c r="AF13" s="427"/>
      <c r="AG13" s="421"/>
      <c r="AH13" s="421"/>
      <c r="AI13" s="411"/>
      <c r="AJ13" s="411"/>
      <c r="AK13" s="411"/>
      <c r="AL13" s="412"/>
      <c r="AM13" s="411"/>
      <c r="AN13" s="411"/>
      <c r="AO13" s="413"/>
      <c r="AP13" s="528"/>
    </row>
    <row r="14" spans="1:50" s="414" customFormat="1" ht="18.75" customHeight="1">
      <c r="A14" s="527">
        <v>3</v>
      </c>
      <c r="B14" s="532" t="s">
        <v>265</v>
      </c>
      <c r="C14" s="527" t="s">
        <v>280</v>
      </c>
      <c r="D14" s="421" t="s">
        <v>224</v>
      </c>
      <c r="E14" s="421" t="s">
        <v>224</v>
      </c>
      <c r="F14" s="421" t="s">
        <v>224</v>
      </c>
      <c r="G14" s="421" t="s">
        <v>224</v>
      </c>
      <c r="H14" s="421" t="s">
        <v>224</v>
      </c>
      <c r="I14" s="421" t="s">
        <v>224</v>
      </c>
      <c r="J14" s="428" t="s">
        <v>224</v>
      </c>
      <c r="K14" s="421" t="s">
        <v>224</v>
      </c>
      <c r="L14" s="421" t="s">
        <v>224</v>
      </c>
      <c r="M14" s="421" t="s">
        <v>224</v>
      </c>
      <c r="N14" s="421" t="s">
        <v>224</v>
      </c>
      <c r="O14" s="421" t="s">
        <v>224</v>
      </c>
      <c r="P14" s="421" t="s">
        <v>224</v>
      </c>
      <c r="Q14" s="428" t="s">
        <v>224</v>
      </c>
      <c r="R14" s="421" t="s">
        <v>224</v>
      </c>
      <c r="S14" s="421" t="s">
        <v>224</v>
      </c>
      <c r="T14" s="421" t="s">
        <v>224</v>
      </c>
      <c r="U14" s="421" t="s">
        <v>224</v>
      </c>
      <c r="V14" s="421" t="s">
        <v>224</v>
      </c>
      <c r="W14" s="421" t="s">
        <v>224</v>
      </c>
      <c r="X14" s="428" t="s">
        <v>224</v>
      </c>
      <c r="Y14" s="421" t="s">
        <v>224</v>
      </c>
      <c r="Z14" s="421" t="s">
        <v>224</v>
      </c>
      <c r="AA14" s="421" t="s">
        <v>224</v>
      </c>
      <c r="AB14" s="421" t="s">
        <v>224</v>
      </c>
      <c r="AC14" s="421" t="s">
        <v>224</v>
      </c>
      <c r="AD14" s="421" t="s">
        <v>224</v>
      </c>
      <c r="AE14" s="428" t="s">
        <v>224</v>
      </c>
      <c r="AF14" s="421" t="s">
        <v>224</v>
      </c>
      <c r="AG14" s="421" t="s">
        <v>224</v>
      </c>
      <c r="AH14" s="421" t="s">
        <v>224</v>
      </c>
      <c r="AI14" s="411">
        <f>COUNTIF(D14:AH14,"p")+COUNTIF(D14:AH14,"1/p")/2+COUNTIF(D14:AH14,"CĐ")</f>
        <v>0</v>
      </c>
      <c r="AJ14" s="411">
        <f>COUNTIF(D14:AH14,"Ô")+COUNTIF(D14:AH14,"R")+COUNTIF(D14:AH14,"1/2")/2+COUNTIF(D14:AH14,"Ts")</f>
        <v>0</v>
      </c>
      <c r="AK14" s="411">
        <f>COUNTIF(D14:AH14,"Nb")+COUNTIF(D14:AH14,"L")+COUNTIF(D14:AH14,"T")+COUNTIF(D14:AH14,"1/LT")/2</f>
        <v>0</v>
      </c>
      <c r="AL14" s="412">
        <f t="shared" ref="AL14:AL24" si="4">SUM(D15:AH15)</f>
        <v>0</v>
      </c>
      <c r="AM14" s="411">
        <f>COUNTIF(D14:AH14,"F1")+COUNTIF(D14:AH14,"1/F1")/2</f>
        <v>0</v>
      </c>
      <c r="AN14" s="411">
        <f>COUNTIF(D14:AH14,"F")+COUNTIF(D14:AH14,"1/lt")/2</f>
        <v>0</v>
      </c>
      <c r="AO14" s="413">
        <f t="shared" ref="AO14:AO21" si="5">COUNTIF(D14:AH14,"X")+COUNTIF(D14:AH14,"1/2")/2+COUNTIF(D14:AH14,"1/p")/2+COUNTIF(D14:AH14,"ĐH")</f>
        <v>31</v>
      </c>
      <c r="AP14" s="534"/>
    </row>
    <row r="15" spans="1:50" s="414" customFormat="1" ht="18.75" customHeight="1">
      <c r="A15" s="528"/>
      <c r="B15" s="533"/>
      <c r="C15" s="528"/>
      <c r="D15" s="442"/>
      <c r="E15" s="442"/>
      <c r="F15" s="427"/>
      <c r="G15" s="427"/>
      <c r="H15" s="427"/>
      <c r="I15" s="427"/>
      <c r="J15" s="429"/>
      <c r="K15" s="427"/>
      <c r="L15" s="427"/>
      <c r="M15" s="427"/>
      <c r="N15" s="427"/>
      <c r="O15" s="427"/>
      <c r="P15" s="427"/>
      <c r="Q15" s="429"/>
      <c r="R15" s="427"/>
      <c r="S15" s="427"/>
      <c r="T15" s="427"/>
      <c r="U15" s="427"/>
      <c r="V15" s="427"/>
      <c r="W15" s="427"/>
      <c r="X15" s="429"/>
      <c r="Y15" s="427"/>
      <c r="Z15" s="427"/>
      <c r="AA15" s="427"/>
      <c r="AB15" s="427"/>
      <c r="AC15" s="427"/>
      <c r="AD15" s="427"/>
      <c r="AE15" s="429"/>
      <c r="AF15" s="427"/>
      <c r="AG15" s="427"/>
      <c r="AH15" s="427"/>
      <c r="AI15" s="411"/>
      <c r="AJ15" s="411"/>
      <c r="AK15" s="411"/>
      <c r="AL15" s="412"/>
      <c r="AM15" s="411"/>
      <c r="AN15" s="411"/>
      <c r="AO15" s="413">
        <f t="shared" si="5"/>
        <v>0</v>
      </c>
      <c r="AP15" s="535"/>
    </row>
    <row r="16" spans="1:50" s="414" customFormat="1" ht="18.75" customHeight="1">
      <c r="A16" s="527">
        <v>4</v>
      </c>
      <c r="B16" s="532" t="s">
        <v>283</v>
      </c>
      <c r="C16" s="527" t="s">
        <v>280</v>
      </c>
      <c r="D16" s="421" t="s">
        <v>224</v>
      </c>
      <c r="E16" s="421" t="s">
        <v>224</v>
      </c>
      <c r="F16" s="421" t="s">
        <v>224</v>
      </c>
      <c r="G16" s="421" t="s">
        <v>224</v>
      </c>
      <c r="H16" s="421" t="s">
        <v>224</v>
      </c>
      <c r="I16" s="421" t="s">
        <v>224</v>
      </c>
      <c r="J16" s="428" t="s">
        <v>224</v>
      </c>
      <c r="K16" s="421" t="s">
        <v>224</v>
      </c>
      <c r="L16" s="421" t="s">
        <v>224</v>
      </c>
      <c r="M16" s="421" t="s">
        <v>224</v>
      </c>
      <c r="N16" s="421" t="s">
        <v>224</v>
      </c>
      <c r="O16" s="421" t="s">
        <v>224</v>
      </c>
      <c r="P16" s="421" t="s">
        <v>224</v>
      </c>
      <c r="Q16" s="428" t="s">
        <v>224</v>
      </c>
      <c r="R16" s="421" t="s">
        <v>224</v>
      </c>
      <c r="S16" s="421" t="s">
        <v>224</v>
      </c>
      <c r="T16" s="421" t="s">
        <v>224</v>
      </c>
      <c r="U16" s="421" t="s">
        <v>224</v>
      </c>
      <c r="V16" s="421" t="s">
        <v>224</v>
      </c>
      <c r="W16" s="421" t="s">
        <v>224</v>
      </c>
      <c r="X16" s="428" t="s">
        <v>224</v>
      </c>
      <c r="Y16" s="421" t="s">
        <v>224</v>
      </c>
      <c r="Z16" s="421" t="s">
        <v>224</v>
      </c>
      <c r="AA16" s="421" t="s">
        <v>224</v>
      </c>
      <c r="AB16" s="421" t="s">
        <v>224</v>
      </c>
      <c r="AC16" s="421" t="s">
        <v>224</v>
      </c>
      <c r="AD16" s="421" t="s">
        <v>224</v>
      </c>
      <c r="AE16" s="428" t="s">
        <v>224</v>
      </c>
      <c r="AF16" s="421" t="s">
        <v>224</v>
      </c>
      <c r="AG16" s="421" t="s">
        <v>224</v>
      </c>
      <c r="AH16" s="421" t="s">
        <v>224</v>
      </c>
      <c r="AI16" s="411">
        <f>COUNTIF(D16:AH16,"p")+COUNTIF(D16:AH16,"1/p")/2+COUNTIF(D16:AH16,"CĐ")</f>
        <v>0</v>
      </c>
      <c r="AJ16" s="411">
        <f>COUNTIF(D16:AH16,"Ô")+COUNTIF(D16:AH16,"R")+COUNTIF(D16:AH16,"1/2")/2+COUNTIF(D16:AH16,"Ts")</f>
        <v>0</v>
      </c>
      <c r="AK16" s="411">
        <f>COUNTIF(D16:AH16,"Nb")+COUNTIF(D16:AH16,"L")+COUNTIF(D16:AH16,"T")+COUNTIF(D16:AH16,"1/LT")/2</f>
        <v>0</v>
      </c>
      <c r="AL16" s="412">
        <f t="shared" si="4"/>
        <v>0</v>
      </c>
      <c r="AM16" s="411">
        <f>COUNTIF(D16:AH16,"F1")+COUNTIF(D16:AH16,"1/F1")/2</f>
        <v>0</v>
      </c>
      <c r="AN16" s="411">
        <f>COUNTIF(D16:AH16,"F")+COUNTIF(D16:AH16,"1/lt")/2</f>
        <v>0</v>
      </c>
      <c r="AO16" s="413">
        <f t="shared" si="5"/>
        <v>31</v>
      </c>
      <c r="AP16" s="534"/>
    </row>
    <row r="17" spans="1:42" s="414" customFormat="1" ht="18.75" customHeight="1">
      <c r="A17" s="528"/>
      <c r="B17" s="533"/>
      <c r="C17" s="528"/>
      <c r="D17" s="442"/>
      <c r="E17" s="442"/>
      <c r="F17" s="427"/>
      <c r="G17" s="427"/>
      <c r="H17" s="427"/>
      <c r="I17" s="427"/>
      <c r="J17" s="429"/>
      <c r="K17" s="427"/>
      <c r="L17" s="427"/>
      <c r="M17" s="427"/>
      <c r="N17" s="427"/>
      <c r="O17" s="427"/>
      <c r="P17" s="427"/>
      <c r="Q17" s="429"/>
      <c r="R17" s="427"/>
      <c r="S17" s="427"/>
      <c r="T17" s="427"/>
      <c r="U17" s="427"/>
      <c r="V17" s="427"/>
      <c r="W17" s="427"/>
      <c r="X17" s="429"/>
      <c r="Y17" s="427"/>
      <c r="Z17" s="427"/>
      <c r="AA17" s="427"/>
      <c r="AB17" s="427"/>
      <c r="AC17" s="427"/>
      <c r="AD17" s="427"/>
      <c r="AE17" s="429"/>
      <c r="AF17" s="427"/>
      <c r="AG17" s="427"/>
      <c r="AH17" s="427"/>
      <c r="AI17" s="411"/>
      <c r="AJ17" s="411"/>
      <c r="AK17" s="411"/>
      <c r="AL17" s="412"/>
      <c r="AM17" s="411"/>
      <c r="AN17" s="411"/>
      <c r="AO17" s="413">
        <f t="shared" si="5"/>
        <v>0</v>
      </c>
      <c r="AP17" s="535"/>
    </row>
    <row r="18" spans="1:42" s="414" customFormat="1" ht="18.75" customHeight="1">
      <c r="A18" s="527">
        <v>5</v>
      </c>
      <c r="B18" s="532" t="s">
        <v>313</v>
      </c>
      <c r="C18" s="527" t="s">
        <v>280</v>
      </c>
      <c r="D18" s="421"/>
      <c r="E18" s="421" t="s">
        <v>224</v>
      </c>
      <c r="F18" s="421" t="s">
        <v>224</v>
      </c>
      <c r="G18" s="421"/>
      <c r="H18" s="421"/>
      <c r="I18" s="421"/>
      <c r="J18" s="428"/>
      <c r="K18" s="421" t="s">
        <v>224</v>
      </c>
      <c r="L18" s="421"/>
      <c r="M18" s="421"/>
      <c r="N18" s="421"/>
      <c r="O18" s="421"/>
      <c r="P18" s="421"/>
      <c r="Q18" s="428"/>
      <c r="R18" s="421"/>
      <c r="S18" s="421"/>
      <c r="T18" s="421" t="s">
        <v>224</v>
      </c>
      <c r="U18" s="421"/>
      <c r="V18" s="421"/>
      <c r="W18" s="421"/>
      <c r="X18" s="428" t="s">
        <v>224</v>
      </c>
      <c r="Y18" s="421"/>
      <c r="Z18" s="421"/>
      <c r="AA18" s="421"/>
      <c r="AB18" s="421"/>
      <c r="AC18" s="421"/>
      <c r="AD18" s="421" t="s">
        <v>224</v>
      </c>
      <c r="AE18" s="428" t="s">
        <v>224</v>
      </c>
      <c r="AF18" s="421"/>
      <c r="AG18" s="421"/>
      <c r="AH18" s="421"/>
      <c r="AI18" s="411">
        <f t="shared" ref="AI18" si="6">COUNTIF(D18:AH18,"p")+COUNTIF(D18:AH18,"1/p")/2+COUNTIF(D18:AH18,"CĐ")</f>
        <v>0</v>
      </c>
      <c r="AJ18" s="411">
        <f t="shared" ref="AJ18" si="7">COUNTIF(D18:AH18,"Ô")+COUNTIF(D18:AH18,"R")+COUNTIF(D18:AH18,"1/2")/2+COUNTIF(D18:AH18,"Ts")</f>
        <v>0</v>
      </c>
      <c r="AK18" s="411">
        <f t="shared" ref="AK18" si="8">COUNTIF(D18:AH18,"Nb")+COUNTIF(D18:AH18,"L")+COUNTIF(D18:AH18,"T")+COUNTIF(D18:AH18,"1/LT")/2</f>
        <v>0</v>
      </c>
      <c r="AL18" s="412">
        <f t="shared" ref="AL18" si="9">SUM(D19:AH19)</f>
        <v>192</v>
      </c>
      <c r="AM18" s="411">
        <f t="shared" ref="AM18" si="10">COUNTIF(D18:AH18,"F1")+COUNTIF(D18:AH18,"1/F1")/2</f>
        <v>0</v>
      </c>
      <c r="AN18" s="411">
        <f t="shared" ref="AN18" si="11">COUNTIF(D18:AH18,"F")+COUNTIF(D18:AH18,"1/lt")/2</f>
        <v>0</v>
      </c>
      <c r="AO18" s="413">
        <f t="shared" si="5"/>
        <v>7</v>
      </c>
      <c r="AP18" s="534"/>
    </row>
    <row r="19" spans="1:42" s="414" customFormat="1" ht="18.75" customHeight="1">
      <c r="A19" s="528"/>
      <c r="B19" s="533"/>
      <c r="C19" s="528"/>
      <c r="D19" s="442">
        <v>8</v>
      </c>
      <c r="E19" s="442"/>
      <c r="F19" s="427"/>
      <c r="G19" s="427">
        <v>8</v>
      </c>
      <c r="H19" s="427">
        <v>8</v>
      </c>
      <c r="I19" s="427">
        <v>8</v>
      </c>
      <c r="J19" s="429">
        <v>8</v>
      </c>
      <c r="K19" s="427"/>
      <c r="L19" s="427">
        <v>8</v>
      </c>
      <c r="M19" s="427">
        <v>8</v>
      </c>
      <c r="N19" s="427">
        <v>8</v>
      </c>
      <c r="O19" s="427">
        <v>8</v>
      </c>
      <c r="P19" s="427">
        <v>8</v>
      </c>
      <c r="Q19" s="429">
        <v>8</v>
      </c>
      <c r="R19" s="427">
        <v>8</v>
      </c>
      <c r="S19" s="427">
        <v>8</v>
      </c>
      <c r="T19" s="427"/>
      <c r="U19" s="427">
        <v>8</v>
      </c>
      <c r="V19" s="427">
        <v>8</v>
      </c>
      <c r="W19" s="427">
        <v>8</v>
      </c>
      <c r="X19" s="429"/>
      <c r="Y19" s="427">
        <v>8</v>
      </c>
      <c r="Z19" s="427">
        <v>8</v>
      </c>
      <c r="AA19" s="427">
        <v>8</v>
      </c>
      <c r="AB19" s="427">
        <v>8</v>
      </c>
      <c r="AC19" s="427">
        <v>8</v>
      </c>
      <c r="AD19" s="427"/>
      <c r="AE19" s="429"/>
      <c r="AF19" s="427">
        <v>8</v>
      </c>
      <c r="AG19" s="427">
        <v>8</v>
      </c>
      <c r="AH19" s="427">
        <v>8</v>
      </c>
      <c r="AI19" s="411"/>
      <c r="AJ19" s="411"/>
      <c r="AK19" s="411"/>
      <c r="AL19" s="412"/>
      <c r="AM19" s="411"/>
      <c r="AN19" s="411"/>
      <c r="AO19" s="413"/>
      <c r="AP19" s="535"/>
    </row>
    <row r="20" spans="1:42" s="414" customFormat="1" ht="18.75" customHeight="1">
      <c r="A20" s="527">
        <v>6</v>
      </c>
      <c r="B20" s="532" t="s">
        <v>281</v>
      </c>
      <c r="C20" s="527" t="s">
        <v>280</v>
      </c>
      <c r="D20" s="421" t="s">
        <v>224</v>
      </c>
      <c r="E20" s="421" t="s">
        <v>224</v>
      </c>
      <c r="F20" s="421" t="s">
        <v>224</v>
      </c>
      <c r="G20" s="421" t="s">
        <v>224</v>
      </c>
      <c r="H20" s="421" t="s">
        <v>224</v>
      </c>
      <c r="I20" s="421" t="s">
        <v>224</v>
      </c>
      <c r="J20" s="428" t="s">
        <v>224</v>
      </c>
      <c r="K20" s="421" t="s">
        <v>224</v>
      </c>
      <c r="L20" s="421" t="s">
        <v>224</v>
      </c>
      <c r="M20" s="421" t="s">
        <v>224</v>
      </c>
      <c r="N20" s="421" t="s">
        <v>224</v>
      </c>
      <c r="O20" s="421" t="s">
        <v>224</v>
      </c>
      <c r="P20" s="421" t="s">
        <v>224</v>
      </c>
      <c r="Q20" s="428" t="s">
        <v>224</v>
      </c>
      <c r="R20" s="421" t="s">
        <v>224</v>
      </c>
      <c r="S20" s="421" t="s">
        <v>224</v>
      </c>
      <c r="T20" s="421"/>
      <c r="U20" s="421" t="s">
        <v>224</v>
      </c>
      <c r="V20" s="421" t="s">
        <v>224</v>
      </c>
      <c r="W20" s="421" t="s">
        <v>224</v>
      </c>
      <c r="X20" s="428" t="s">
        <v>224</v>
      </c>
      <c r="Y20" s="421" t="s">
        <v>224</v>
      </c>
      <c r="Z20" s="421" t="s">
        <v>224</v>
      </c>
      <c r="AA20" s="421" t="s">
        <v>224</v>
      </c>
      <c r="AB20" s="421" t="s">
        <v>224</v>
      </c>
      <c r="AC20" s="421" t="s">
        <v>224</v>
      </c>
      <c r="AD20" s="421" t="s">
        <v>224</v>
      </c>
      <c r="AE20" s="428" t="s">
        <v>224</v>
      </c>
      <c r="AF20" s="421" t="s">
        <v>224</v>
      </c>
      <c r="AG20" s="421" t="s">
        <v>224</v>
      </c>
      <c r="AH20" s="421" t="s">
        <v>224</v>
      </c>
      <c r="AI20" s="411">
        <f t="shared" ref="AI20" si="12">COUNTIF(D20:AH20,"p")+COUNTIF(D20:AH20,"1/p")/2+COUNTIF(D20:AH20,"CĐ")</f>
        <v>0</v>
      </c>
      <c r="AJ20" s="411">
        <f t="shared" ref="AJ20" si="13">COUNTIF(D20:AH20,"Ô")+COUNTIF(D20:AH20,"R")+COUNTIF(D20:AH20,"1/2")/2+COUNTIF(D20:AH20,"Ts")</f>
        <v>0</v>
      </c>
      <c r="AK20" s="411">
        <f t="shared" ref="AK20" si="14">COUNTIF(D20:AH20,"Nb")+COUNTIF(D20:AH20,"L")+COUNTIF(D20:AH20,"T")+COUNTIF(D20:AH20,"1/LT")/2</f>
        <v>0</v>
      </c>
      <c r="AL20" s="412">
        <f t="shared" si="4"/>
        <v>7</v>
      </c>
      <c r="AM20" s="411">
        <f t="shared" ref="AM20" si="15">COUNTIF(D20:AH20,"F1")+COUNTIF(D20:AH20,"1/F1")/2</f>
        <v>0</v>
      </c>
      <c r="AN20" s="411">
        <f t="shared" ref="AN20" si="16">COUNTIF(D20:AH20,"F")+COUNTIF(D20:AH20,"1/lt")/2</f>
        <v>0</v>
      </c>
      <c r="AO20" s="413">
        <f t="shared" si="5"/>
        <v>30</v>
      </c>
      <c r="AP20" s="534"/>
    </row>
    <row r="21" spans="1:42" s="414" customFormat="1" ht="18.75" customHeight="1">
      <c r="A21" s="528"/>
      <c r="B21" s="533"/>
      <c r="C21" s="528"/>
      <c r="D21" s="442"/>
      <c r="E21" s="442"/>
      <c r="F21" s="427"/>
      <c r="G21" s="427"/>
      <c r="H21" s="427"/>
      <c r="I21" s="427"/>
      <c r="J21" s="429"/>
      <c r="K21" s="427"/>
      <c r="L21" s="427"/>
      <c r="M21" s="427"/>
      <c r="N21" s="427"/>
      <c r="O21" s="427"/>
      <c r="P21" s="427"/>
      <c r="Q21" s="429"/>
      <c r="R21" s="427"/>
      <c r="S21" s="427"/>
      <c r="T21" s="427">
        <v>7</v>
      </c>
      <c r="U21" s="427"/>
      <c r="V21" s="427"/>
      <c r="W21" s="427"/>
      <c r="X21" s="429"/>
      <c r="Y21" s="427"/>
      <c r="Z21" s="427"/>
      <c r="AA21" s="427"/>
      <c r="AB21" s="427"/>
      <c r="AC21" s="427"/>
      <c r="AD21" s="427"/>
      <c r="AE21" s="429"/>
      <c r="AF21" s="427"/>
      <c r="AG21" s="427"/>
      <c r="AH21" s="427"/>
      <c r="AI21" s="411"/>
      <c r="AJ21" s="411"/>
      <c r="AK21" s="411"/>
      <c r="AL21" s="412"/>
      <c r="AM21" s="411"/>
      <c r="AN21" s="411"/>
      <c r="AO21" s="413">
        <f t="shared" si="5"/>
        <v>0</v>
      </c>
      <c r="AP21" s="535"/>
    </row>
    <row r="22" spans="1:42" s="414" customFormat="1" ht="20.25" customHeight="1">
      <c r="A22" s="527">
        <v>8</v>
      </c>
      <c r="B22" s="532" t="s">
        <v>302</v>
      </c>
      <c r="C22" s="527" t="s">
        <v>280</v>
      </c>
      <c r="D22" s="421" t="s">
        <v>224</v>
      </c>
      <c r="E22" s="421" t="s">
        <v>224</v>
      </c>
      <c r="F22" s="421" t="s">
        <v>224</v>
      </c>
      <c r="G22" s="421" t="s">
        <v>224</v>
      </c>
      <c r="H22" s="421" t="s">
        <v>224</v>
      </c>
      <c r="I22" s="421" t="s">
        <v>224</v>
      </c>
      <c r="J22" s="428" t="s">
        <v>224</v>
      </c>
      <c r="K22" s="421" t="s">
        <v>224</v>
      </c>
      <c r="L22" s="421" t="s">
        <v>224</v>
      </c>
      <c r="M22" s="421" t="s">
        <v>224</v>
      </c>
      <c r="N22" s="421" t="s">
        <v>224</v>
      </c>
      <c r="O22" s="421" t="s">
        <v>224</v>
      </c>
      <c r="P22" s="421" t="s">
        <v>224</v>
      </c>
      <c r="Q22" s="428" t="s">
        <v>224</v>
      </c>
      <c r="R22" s="421" t="s">
        <v>224</v>
      </c>
      <c r="S22" s="421" t="s">
        <v>224</v>
      </c>
      <c r="T22" s="421" t="s">
        <v>224</v>
      </c>
      <c r="U22" s="421" t="s">
        <v>224</v>
      </c>
      <c r="V22" s="421" t="s">
        <v>224</v>
      </c>
      <c r="W22" s="421" t="s">
        <v>224</v>
      </c>
      <c r="X22" s="428" t="s">
        <v>224</v>
      </c>
      <c r="Y22" s="421" t="s">
        <v>224</v>
      </c>
      <c r="Z22" s="421" t="s">
        <v>224</v>
      </c>
      <c r="AA22" s="421" t="s">
        <v>224</v>
      </c>
      <c r="AB22" s="421" t="s">
        <v>224</v>
      </c>
      <c r="AC22" s="421" t="s">
        <v>224</v>
      </c>
      <c r="AD22" s="421" t="s">
        <v>224</v>
      </c>
      <c r="AE22" s="428" t="s">
        <v>224</v>
      </c>
      <c r="AF22" s="421" t="s">
        <v>224</v>
      </c>
      <c r="AG22" s="421" t="s">
        <v>224</v>
      </c>
      <c r="AH22" s="421" t="s">
        <v>224</v>
      </c>
      <c r="AI22" s="411">
        <f t="shared" ref="AI22" si="17">COUNTIF(D22:AH22,"p")+COUNTIF(D22:AH22,"1/p")/2+COUNTIF(D22:AH22,"CĐ")</f>
        <v>0</v>
      </c>
      <c r="AJ22" s="411">
        <f t="shared" ref="AJ22" si="18">COUNTIF(D22:AH22,"Ô")+COUNTIF(D22:AH22,"R")+COUNTIF(D22:AH22,"1/2")/2+COUNTIF(D22:AH22,"Ts")</f>
        <v>0</v>
      </c>
      <c r="AK22" s="411">
        <f t="shared" ref="AK22" si="19">COUNTIF(D22:AH22,"Nb")+COUNTIF(D22:AH22,"L")+COUNTIF(D22:AH22,"T")+COUNTIF(D22:AH22,"1/LT")/2</f>
        <v>0</v>
      </c>
      <c r="AL22" s="412">
        <f>SUM(D23:AH23)</f>
        <v>0</v>
      </c>
      <c r="AM22" s="411">
        <f t="shared" ref="AM22" si="20">COUNTIF(D22:AH22,"F1")+COUNTIF(D22:AH22,"1/F1")/2</f>
        <v>0</v>
      </c>
      <c r="AN22" s="411">
        <f t="shared" ref="AN22" si="21">COUNTIF(D22:AH22,"F")+COUNTIF(D22:AH22,"1/lt")/2</f>
        <v>0</v>
      </c>
      <c r="AO22" s="413">
        <f>COUNTIF(D22:AH22,"X")+COUNTIF(D22:AH22,"1/2")/2+COUNTIF(D22:AH22,"1/p")/2+COUNTIF(D22:AH22,"ĐH")</f>
        <v>31</v>
      </c>
      <c r="AP22" s="527"/>
    </row>
    <row r="23" spans="1:42" s="414" customFormat="1" ht="20.25" customHeight="1">
      <c r="A23" s="528"/>
      <c r="B23" s="533"/>
      <c r="C23" s="528"/>
      <c r="D23" s="442"/>
      <c r="E23" s="442"/>
      <c r="F23" s="427"/>
      <c r="G23" s="427"/>
      <c r="H23" s="427"/>
      <c r="I23" s="427"/>
      <c r="J23" s="429"/>
      <c r="K23" s="427"/>
      <c r="L23" s="427"/>
      <c r="M23" s="427"/>
      <c r="N23" s="427"/>
      <c r="O23" s="427"/>
      <c r="P23" s="427"/>
      <c r="Q23" s="429"/>
      <c r="R23" s="427"/>
      <c r="S23" s="427"/>
      <c r="T23" s="427"/>
      <c r="U23" s="427"/>
      <c r="V23" s="427"/>
      <c r="W23" s="427"/>
      <c r="X23" s="429"/>
      <c r="Y23" s="427"/>
      <c r="Z23" s="427"/>
      <c r="AA23" s="427"/>
      <c r="AB23" s="427"/>
      <c r="AC23" s="427"/>
      <c r="AD23" s="427"/>
      <c r="AE23" s="429"/>
      <c r="AF23" s="427"/>
      <c r="AG23" s="421"/>
      <c r="AH23" s="421"/>
      <c r="AI23" s="411"/>
      <c r="AJ23" s="411"/>
      <c r="AK23" s="411"/>
      <c r="AL23" s="412"/>
      <c r="AM23" s="411"/>
      <c r="AN23" s="411"/>
      <c r="AO23" s="413"/>
      <c r="AP23" s="528"/>
    </row>
    <row r="24" spans="1:42" s="414" customFormat="1" ht="18.75" customHeight="1">
      <c r="A24" s="527">
        <v>9</v>
      </c>
      <c r="B24" s="532" t="s">
        <v>329</v>
      </c>
      <c r="C24" s="527" t="s">
        <v>280</v>
      </c>
      <c r="D24" s="421" t="s">
        <v>224</v>
      </c>
      <c r="E24" s="421" t="s">
        <v>224</v>
      </c>
      <c r="F24" s="421" t="s">
        <v>224</v>
      </c>
      <c r="G24" s="421" t="s">
        <v>224</v>
      </c>
      <c r="H24" s="421" t="s">
        <v>224</v>
      </c>
      <c r="I24" s="421" t="s">
        <v>224</v>
      </c>
      <c r="J24" s="428" t="s">
        <v>224</v>
      </c>
      <c r="K24" s="421" t="s">
        <v>224</v>
      </c>
      <c r="L24" s="421" t="s">
        <v>224</v>
      </c>
      <c r="M24" s="421" t="s">
        <v>224</v>
      </c>
      <c r="N24" s="421" t="s">
        <v>224</v>
      </c>
      <c r="O24" s="421" t="s">
        <v>224</v>
      </c>
      <c r="P24" s="421" t="s">
        <v>224</v>
      </c>
      <c r="Q24" s="428" t="s">
        <v>224</v>
      </c>
      <c r="R24" s="421" t="s">
        <v>224</v>
      </c>
      <c r="S24" s="421" t="s">
        <v>224</v>
      </c>
      <c r="T24" s="421" t="s">
        <v>224</v>
      </c>
      <c r="U24" s="421" t="s">
        <v>224</v>
      </c>
      <c r="V24" s="421" t="s">
        <v>224</v>
      </c>
      <c r="W24" s="421" t="s">
        <v>224</v>
      </c>
      <c r="X24" s="428" t="s">
        <v>224</v>
      </c>
      <c r="Y24" s="421" t="s">
        <v>224</v>
      </c>
      <c r="Z24" s="421" t="s">
        <v>224</v>
      </c>
      <c r="AA24" s="421" t="s">
        <v>224</v>
      </c>
      <c r="AB24" s="421" t="s">
        <v>224</v>
      </c>
      <c r="AC24" s="421" t="s">
        <v>224</v>
      </c>
      <c r="AD24" s="421" t="s">
        <v>224</v>
      </c>
      <c r="AE24" s="428" t="s">
        <v>224</v>
      </c>
      <c r="AF24" s="421" t="s">
        <v>224</v>
      </c>
      <c r="AG24" s="421" t="s">
        <v>224</v>
      </c>
      <c r="AH24" s="421" t="s">
        <v>224</v>
      </c>
      <c r="AI24" s="411">
        <f>COUNTIF(D24:AH24,"p")+COUNTIF(D24:AH24,"1/p")/2+COUNTIF(D24:AH24,"CĐ")</f>
        <v>0</v>
      </c>
      <c r="AJ24" s="411">
        <f>COUNTIF(D24:AH24,"Ô")+COUNTIF(D24:AH24,"R")+COUNTIF(D24:AH24,"1/2")/2+COUNTIF(D24:AH24,"Ts")</f>
        <v>0</v>
      </c>
      <c r="AK24" s="411">
        <f>COUNTIF(D24:AH24,"Nb")+COUNTIF(D24:AH24,"L")+COUNTIF(D24:AH24,"T")+COUNTIF(D24:AH24,"1/LT")/2</f>
        <v>0</v>
      </c>
      <c r="AL24" s="412">
        <f t="shared" si="4"/>
        <v>0</v>
      </c>
      <c r="AM24" s="411">
        <f>COUNTIF(D24:AH24,"F1")+COUNTIF(D24:AH24,"1/F1")/2</f>
        <v>0</v>
      </c>
      <c r="AN24" s="411">
        <f>COUNTIF(D24:AH24,"F")+COUNTIF(D24:AH24,"1/lt")/2</f>
        <v>0</v>
      </c>
      <c r="AO24" s="413">
        <f>COUNTIF(D24:AH24,"X")+COUNTIF(D24:AH24,"1/2")/2+COUNTIF(D24:AH24,"1/p")/2+COUNTIF(D24:AH24,"ĐH")</f>
        <v>31</v>
      </c>
      <c r="AP24" s="552"/>
    </row>
    <row r="25" spans="1:42" s="414" customFormat="1" ht="18.75" customHeight="1">
      <c r="A25" s="528"/>
      <c r="B25" s="533"/>
      <c r="C25" s="528"/>
      <c r="D25" s="442"/>
      <c r="E25" s="442"/>
      <c r="F25" s="427"/>
      <c r="G25" s="427"/>
      <c r="H25" s="427"/>
      <c r="I25" s="427"/>
      <c r="J25" s="429"/>
      <c r="K25" s="427"/>
      <c r="L25" s="427"/>
      <c r="M25" s="427"/>
      <c r="N25" s="427"/>
      <c r="O25" s="427"/>
      <c r="P25" s="427"/>
      <c r="Q25" s="429"/>
      <c r="R25" s="427"/>
      <c r="S25" s="427"/>
      <c r="T25" s="427"/>
      <c r="U25" s="427"/>
      <c r="V25" s="427"/>
      <c r="W25" s="427"/>
      <c r="X25" s="429"/>
      <c r="Y25" s="427"/>
      <c r="Z25" s="427"/>
      <c r="AA25" s="427"/>
      <c r="AB25" s="427"/>
      <c r="AC25" s="427"/>
      <c r="AD25" s="427"/>
      <c r="AE25" s="429"/>
      <c r="AF25" s="427"/>
      <c r="AG25" s="427"/>
      <c r="AH25" s="427"/>
      <c r="AI25" s="411"/>
      <c r="AJ25" s="411"/>
      <c r="AK25" s="411"/>
      <c r="AL25" s="412"/>
      <c r="AM25" s="411"/>
      <c r="AN25" s="411"/>
      <c r="AO25" s="413">
        <f>COUNTIF(D25:AH25,"X")+COUNTIF(D25:AH25,"1/2")/2+COUNTIF(D25:AH25,"1/p")/2+COUNTIF(D25:AH25,"ĐH")</f>
        <v>0</v>
      </c>
      <c r="AP25" s="552"/>
    </row>
    <row r="26" spans="1:42" s="414" customFormat="1" ht="20.25" customHeight="1">
      <c r="A26" s="527">
        <v>10</v>
      </c>
      <c r="B26" s="564" t="s">
        <v>308</v>
      </c>
      <c r="C26" s="527" t="s">
        <v>280</v>
      </c>
      <c r="D26" s="421" t="s">
        <v>224</v>
      </c>
      <c r="E26" s="421" t="s">
        <v>224</v>
      </c>
      <c r="F26" s="421" t="s">
        <v>213</v>
      </c>
      <c r="G26" s="421" t="s">
        <v>224</v>
      </c>
      <c r="H26" s="421" t="s">
        <v>224</v>
      </c>
      <c r="I26" s="421" t="s">
        <v>224</v>
      </c>
      <c r="J26" s="428" t="s">
        <v>224</v>
      </c>
      <c r="K26" s="421" t="s">
        <v>224</v>
      </c>
      <c r="L26" s="421" t="s">
        <v>224</v>
      </c>
      <c r="M26" s="421" t="s">
        <v>224</v>
      </c>
      <c r="N26" s="421" t="s">
        <v>224</v>
      </c>
      <c r="O26" s="421" t="s">
        <v>224</v>
      </c>
      <c r="P26" s="421" t="s">
        <v>224</v>
      </c>
      <c r="Q26" s="428" t="s">
        <v>224</v>
      </c>
      <c r="R26" s="421" t="s">
        <v>224</v>
      </c>
      <c r="S26" s="421" t="s">
        <v>224</v>
      </c>
      <c r="T26" s="421" t="s">
        <v>224</v>
      </c>
      <c r="U26" s="421" t="s">
        <v>224</v>
      </c>
      <c r="V26" s="421" t="s">
        <v>224</v>
      </c>
      <c r="W26" s="421" t="s">
        <v>224</v>
      </c>
      <c r="X26" s="428" t="s">
        <v>224</v>
      </c>
      <c r="Y26" s="421" t="s">
        <v>224</v>
      </c>
      <c r="Z26" s="421" t="s">
        <v>224</v>
      </c>
      <c r="AA26" s="421" t="s">
        <v>224</v>
      </c>
      <c r="AB26" s="421" t="s">
        <v>224</v>
      </c>
      <c r="AC26" s="421" t="s">
        <v>224</v>
      </c>
      <c r="AD26" s="421" t="s">
        <v>224</v>
      </c>
      <c r="AE26" s="428" t="s">
        <v>224</v>
      </c>
      <c r="AF26" s="421" t="s">
        <v>224</v>
      </c>
      <c r="AG26" s="421" t="s">
        <v>224</v>
      </c>
      <c r="AH26" s="421" t="s">
        <v>224</v>
      </c>
      <c r="AI26" s="411">
        <f t="shared" ref="AI26" si="22">COUNTIF(D26:AH26,"p")+COUNTIF(D26:AH26,"1/p")/2+COUNTIF(D26:AH26,"CĐ")</f>
        <v>1</v>
      </c>
      <c r="AJ26" s="411">
        <f t="shared" ref="AJ26" si="23">COUNTIF(D26:AH26,"Ô")+COUNTIF(D26:AH26,"R")+COUNTIF(D26:AH26,"1/2")/2+COUNTIF(D26:AH26,"Ts")</f>
        <v>0</v>
      </c>
      <c r="AK26" s="411">
        <f t="shared" ref="AK26" si="24">COUNTIF(D26:AH26,"Nb")+COUNTIF(D26:AH26,"L")+COUNTIF(D26:AH26,"T")+COUNTIF(D26:AH26,"1/LT")/2</f>
        <v>0</v>
      </c>
      <c r="AL26" s="412">
        <f>SUM(D27:AH27)</f>
        <v>0</v>
      </c>
      <c r="AM26" s="411">
        <f t="shared" ref="AM26" si="25">COUNTIF(D26:AH26,"F1")+COUNTIF(D26:AH26,"1/F1")/2</f>
        <v>0</v>
      </c>
      <c r="AN26" s="411">
        <f t="shared" ref="AN26" si="26">COUNTIF(D26:AH26,"F")+COUNTIF(D26:AH26,"1/lt")/2</f>
        <v>0</v>
      </c>
      <c r="AO26" s="413">
        <f t="shared" ref="AO26" si="27">COUNTIF(D26:AH26,"X")+COUNTIF(D26:AH26,"1/2")/2+COUNTIF(D26:AH26,"1/p")/2+COUNTIF(D26:AH26,"ĐH")</f>
        <v>30</v>
      </c>
      <c r="AP26" s="527"/>
    </row>
    <row r="27" spans="1:42" s="414" customFormat="1" ht="20.25" customHeight="1">
      <c r="A27" s="528"/>
      <c r="B27" s="564"/>
      <c r="C27" s="528"/>
      <c r="D27" s="442"/>
      <c r="E27" s="442"/>
      <c r="F27" s="427"/>
      <c r="G27" s="427"/>
      <c r="H27" s="427"/>
      <c r="I27" s="427"/>
      <c r="J27" s="429"/>
      <c r="K27" s="427"/>
      <c r="L27" s="427"/>
      <c r="M27" s="427"/>
      <c r="N27" s="427"/>
      <c r="O27" s="427"/>
      <c r="P27" s="427"/>
      <c r="Q27" s="429"/>
      <c r="R27" s="427"/>
      <c r="S27" s="427"/>
      <c r="T27" s="427"/>
      <c r="U27" s="427"/>
      <c r="V27" s="427"/>
      <c r="W27" s="427"/>
      <c r="X27" s="429"/>
      <c r="Y27" s="427"/>
      <c r="Z27" s="427"/>
      <c r="AA27" s="427"/>
      <c r="AB27" s="427"/>
      <c r="AC27" s="427"/>
      <c r="AD27" s="427"/>
      <c r="AE27" s="429"/>
      <c r="AF27" s="427"/>
      <c r="AG27" s="421"/>
      <c r="AH27" s="421"/>
      <c r="AI27" s="411"/>
      <c r="AJ27" s="411"/>
      <c r="AK27" s="411"/>
      <c r="AL27" s="412"/>
      <c r="AM27" s="411"/>
      <c r="AN27" s="411"/>
      <c r="AO27" s="413"/>
      <c r="AP27" s="528"/>
    </row>
    <row r="28" spans="1:42" s="414" customFormat="1" ht="20.25" customHeight="1">
      <c r="A28" s="527">
        <v>11</v>
      </c>
      <c r="B28" s="532" t="s">
        <v>282</v>
      </c>
      <c r="C28" s="527" t="s">
        <v>280</v>
      </c>
      <c r="D28" s="421" t="s">
        <v>224</v>
      </c>
      <c r="E28" s="421" t="s">
        <v>224</v>
      </c>
      <c r="F28" s="421" t="s">
        <v>224</v>
      </c>
      <c r="G28" s="421" t="s">
        <v>224</v>
      </c>
      <c r="H28" s="421" t="s">
        <v>224</v>
      </c>
      <c r="I28" s="421" t="s">
        <v>224</v>
      </c>
      <c r="J28" s="428" t="s">
        <v>224</v>
      </c>
      <c r="K28" s="421" t="s">
        <v>224</v>
      </c>
      <c r="L28" s="421" t="s">
        <v>224</v>
      </c>
      <c r="M28" s="421" t="s">
        <v>224</v>
      </c>
      <c r="N28" s="421" t="s">
        <v>224</v>
      </c>
      <c r="O28" s="421" t="s">
        <v>224</v>
      </c>
      <c r="P28" s="421" t="s">
        <v>224</v>
      </c>
      <c r="Q28" s="428" t="s">
        <v>224</v>
      </c>
      <c r="R28" s="421" t="s">
        <v>224</v>
      </c>
      <c r="S28" s="421" t="s">
        <v>224</v>
      </c>
      <c r="T28" s="421" t="s">
        <v>224</v>
      </c>
      <c r="U28" s="421" t="s">
        <v>224</v>
      </c>
      <c r="V28" s="421" t="s">
        <v>224</v>
      </c>
      <c r="W28" s="421" t="s">
        <v>224</v>
      </c>
      <c r="X28" s="428" t="s">
        <v>224</v>
      </c>
      <c r="Y28" s="421" t="s">
        <v>224</v>
      </c>
      <c r="Z28" s="421" t="s">
        <v>224</v>
      </c>
      <c r="AA28" s="421" t="s">
        <v>224</v>
      </c>
      <c r="AB28" s="421" t="s">
        <v>224</v>
      </c>
      <c r="AC28" s="421" t="s">
        <v>224</v>
      </c>
      <c r="AD28" s="421" t="s">
        <v>224</v>
      </c>
      <c r="AE28" s="428" t="s">
        <v>224</v>
      </c>
      <c r="AF28" s="421" t="s">
        <v>224</v>
      </c>
      <c r="AG28" s="421" t="s">
        <v>224</v>
      </c>
      <c r="AH28" s="421" t="s">
        <v>224</v>
      </c>
      <c r="AI28" s="411">
        <f t="shared" ref="AI28" si="28">COUNTIF(D28:AH28,"p")+COUNTIF(D28:AH28,"1/p")/2+COUNTIF(D28:AH28,"CĐ")</f>
        <v>0</v>
      </c>
      <c r="AJ28" s="411">
        <f t="shared" ref="AJ28" si="29">COUNTIF(D28:AH28,"Ô")+COUNTIF(D28:AH28,"R")+COUNTIF(D28:AH28,"1/2")/2+COUNTIF(D28:AH28,"Ts")</f>
        <v>0</v>
      </c>
      <c r="AK28" s="411">
        <f t="shared" ref="AK28" si="30">COUNTIF(D28:AH28,"Nb")+COUNTIF(D28:AH28,"L")+COUNTIF(D28:AH28,"T")+COUNTIF(D28:AH28,"1/LT")/2</f>
        <v>0</v>
      </c>
      <c r="AL28" s="412">
        <f t="shared" ref="AL28" si="31">SUM(D29:AH29)</f>
        <v>0</v>
      </c>
      <c r="AM28" s="411">
        <f t="shared" ref="AM28" si="32">COUNTIF(D28:AH28,"F1")+COUNTIF(D28:AH28,"1/F1")/2</f>
        <v>0</v>
      </c>
      <c r="AN28" s="411">
        <f t="shared" ref="AN28" si="33">COUNTIF(D28:AH28,"F")+COUNTIF(D28:AH28,"1/lt")/2</f>
        <v>0</v>
      </c>
      <c r="AO28" s="413">
        <f>COUNTIF(D28:AH28,"X")+COUNTIF(D28:AH28,"1/2")/2+COUNTIF(D28:AH28,"1/p")/2+COUNTIF(D28:AH28,"ĐH")</f>
        <v>31</v>
      </c>
      <c r="AP28" s="527"/>
    </row>
    <row r="29" spans="1:42" s="414" customFormat="1" ht="20.25" customHeight="1">
      <c r="A29" s="528"/>
      <c r="B29" s="533"/>
      <c r="C29" s="528"/>
      <c r="D29" s="442"/>
      <c r="E29" s="442"/>
      <c r="F29" s="427"/>
      <c r="G29" s="427"/>
      <c r="H29" s="427"/>
      <c r="I29" s="427"/>
      <c r="J29" s="429"/>
      <c r="K29" s="427"/>
      <c r="L29" s="427"/>
      <c r="M29" s="427"/>
      <c r="N29" s="427"/>
      <c r="O29" s="427"/>
      <c r="P29" s="427"/>
      <c r="Q29" s="429"/>
      <c r="R29" s="427"/>
      <c r="S29" s="427"/>
      <c r="T29" s="427"/>
      <c r="U29" s="427"/>
      <c r="V29" s="427"/>
      <c r="W29" s="427"/>
      <c r="X29" s="429"/>
      <c r="Y29" s="427"/>
      <c r="Z29" s="427"/>
      <c r="AA29" s="427"/>
      <c r="AB29" s="427"/>
      <c r="AC29" s="427"/>
      <c r="AD29" s="427"/>
      <c r="AE29" s="429"/>
      <c r="AF29" s="427"/>
      <c r="AG29" s="421"/>
      <c r="AH29" s="421"/>
      <c r="AI29" s="411"/>
      <c r="AJ29" s="411"/>
      <c r="AK29" s="411"/>
      <c r="AL29" s="412"/>
      <c r="AM29" s="411"/>
      <c r="AN29" s="411"/>
      <c r="AO29" s="413"/>
      <c r="AP29" s="528"/>
    </row>
    <row r="30" spans="1:42" s="414" customFormat="1" ht="18.75" customHeight="1">
      <c r="A30" s="527">
        <v>12</v>
      </c>
      <c r="B30" s="565" t="s">
        <v>289</v>
      </c>
      <c r="C30" s="527" t="s">
        <v>280</v>
      </c>
      <c r="D30" s="421" t="s">
        <v>224</v>
      </c>
      <c r="E30" s="421" t="s">
        <v>224</v>
      </c>
      <c r="F30" s="421" t="s">
        <v>224</v>
      </c>
      <c r="G30" s="421" t="s">
        <v>224</v>
      </c>
      <c r="H30" s="421" t="s">
        <v>224</v>
      </c>
      <c r="I30" s="421" t="s">
        <v>224</v>
      </c>
      <c r="J30" s="428" t="s">
        <v>224</v>
      </c>
      <c r="K30" s="421" t="s">
        <v>224</v>
      </c>
      <c r="L30" s="421" t="s">
        <v>224</v>
      </c>
      <c r="M30" s="421" t="s">
        <v>224</v>
      </c>
      <c r="N30" s="421" t="s">
        <v>224</v>
      </c>
      <c r="O30" s="421" t="s">
        <v>224</v>
      </c>
      <c r="P30" s="421" t="s">
        <v>224</v>
      </c>
      <c r="Q30" s="428" t="s">
        <v>224</v>
      </c>
      <c r="R30" s="421" t="s">
        <v>224</v>
      </c>
      <c r="S30" s="421" t="s">
        <v>224</v>
      </c>
      <c r="T30" s="421" t="s">
        <v>224</v>
      </c>
      <c r="U30" s="421" t="s">
        <v>224</v>
      </c>
      <c r="V30" s="421" t="s">
        <v>224</v>
      </c>
      <c r="W30" s="421" t="s">
        <v>224</v>
      </c>
      <c r="X30" s="428" t="s">
        <v>224</v>
      </c>
      <c r="Y30" s="421" t="s">
        <v>224</v>
      </c>
      <c r="Z30" s="421" t="s">
        <v>224</v>
      </c>
      <c r="AA30" s="421" t="s">
        <v>224</v>
      </c>
      <c r="AB30" s="421" t="s">
        <v>224</v>
      </c>
      <c r="AC30" s="421" t="s">
        <v>224</v>
      </c>
      <c r="AD30" s="421" t="s">
        <v>224</v>
      </c>
      <c r="AE30" s="428" t="s">
        <v>224</v>
      </c>
      <c r="AF30" s="421" t="s">
        <v>224</v>
      </c>
      <c r="AG30" s="421" t="s">
        <v>224</v>
      </c>
      <c r="AH30" s="421" t="s">
        <v>224</v>
      </c>
      <c r="AI30" s="411">
        <f t="shared" ref="AI30" si="34">COUNTIF(D30:AH30,"p")+COUNTIF(D30:AH30,"1/p")/2+COUNTIF(D30:AH30,"CĐ")</f>
        <v>0</v>
      </c>
      <c r="AJ30" s="411">
        <f t="shared" ref="AJ30" si="35">COUNTIF(D30:AH30,"Ô")+COUNTIF(D30:AH30,"R")+COUNTIF(D30:AH30,"1/2")/2+COUNTIF(D30:AH30,"Ts")</f>
        <v>0</v>
      </c>
      <c r="AK30" s="411">
        <f t="shared" ref="AK30" si="36">COUNTIF(D30:AH30,"Nb")+COUNTIF(D30:AH30,"L")+COUNTIF(D30:AH30,"T")+COUNTIF(D30:AH30,"1/LT")/2</f>
        <v>0</v>
      </c>
      <c r="AL30" s="412">
        <f t="shared" ref="AL30" si="37">SUM(D31:AH31)</f>
        <v>0</v>
      </c>
      <c r="AM30" s="411">
        <f t="shared" ref="AM30" si="38">COUNTIF(D30:AH30,"F1")+COUNTIF(D30:AH30,"1/F1")/2</f>
        <v>0</v>
      </c>
      <c r="AN30" s="411">
        <f t="shared" ref="AN30" si="39">COUNTIF(D30:AH30,"F")+COUNTIF(D30:AH30,"1/lt")/2</f>
        <v>0</v>
      </c>
      <c r="AO30" s="413">
        <f>COUNTIF(D30:AH30,"X")+COUNTIF(D30:AH30,"1/2")/2+COUNTIF(D30:AH30,"1/p")/2+COUNTIF(D30:AH30,"ĐH")</f>
        <v>31</v>
      </c>
      <c r="AP30" s="527"/>
    </row>
    <row r="31" spans="1:42" s="414" customFormat="1" ht="20.25" customHeight="1">
      <c r="A31" s="528"/>
      <c r="B31" s="566"/>
      <c r="C31" s="528"/>
      <c r="D31" s="442"/>
      <c r="E31" s="442"/>
      <c r="F31" s="427"/>
      <c r="G31" s="427"/>
      <c r="H31" s="427"/>
      <c r="I31" s="427"/>
      <c r="J31" s="429"/>
      <c r="K31" s="427"/>
      <c r="L31" s="427"/>
      <c r="M31" s="427"/>
      <c r="N31" s="427"/>
      <c r="O31" s="427"/>
      <c r="P31" s="427"/>
      <c r="Q31" s="429"/>
      <c r="R31" s="427"/>
      <c r="S31" s="427"/>
      <c r="T31" s="427"/>
      <c r="U31" s="427"/>
      <c r="V31" s="427"/>
      <c r="W31" s="427"/>
      <c r="X31" s="429"/>
      <c r="Y31" s="427"/>
      <c r="Z31" s="427"/>
      <c r="AA31" s="427"/>
      <c r="AB31" s="427"/>
      <c r="AC31" s="427"/>
      <c r="AD31" s="427"/>
      <c r="AE31" s="429"/>
      <c r="AF31" s="427"/>
      <c r="AG31" s="421"/>
      <c r="AH31" s="421"/>
      <c r="AI31" s="411"/>
      <c r="AJ31" s="411"/>
      <c r="AK31" s="411"/>
      <c r="AL31" s="412"/>
      <c r="AM31" s="411"/>
      <c r="AN31" s="411"/>
      <c r="AO31" s="413"/>
      <c r="AP31" s="528"/>
    </row>
    <row r="32" spans="1:42" s="414" customFormat="1" ht="20.25" customHeight="1">
      <c r="A32" s="527">
        <v>13</v>
      </c>
      <c r="B32" s="532" t="s">
        <v>291</v>
      </c>
      <c r="C32" s="527" t="s">
        <v>280</v>
      </c>
      <c r="D32" s="421" t="s">
        <v>224</v>
      </c>
      <c r="E32" s="421" t="s">
        <v>224</v>
      </c>
      <c r="F32" s="421" t="s">
        <v>224</v>
      </c>
      <c r="G32" s="421" t="s">
        <v>224</v>
      </c>
      <c r="H32" s="421" t="s">
        <v>224</v>
      </c>
      <c r="I32" s="421" t="s">
        <v>224</v>
      </c>
      <c r="J32" s="428" t="s">
        <v>224</v>
      </c>
      <c r="K32" s="421" t="s">
        <v>224</v>
      </c>
      <c r="L32" s="421" t="s">
        <v>224</v>
      </c>
      <c r="M32" s="421" t="s">
        <v>224</v>
      </c>
      <c r="N32" s="421" t="s">
        <v>224</v>
      </c>
      <c r="O32" s="421" t="s">
        <v>224</v>
      </c>
      <c r="P32" s="421" t="s">
        <v>224</v>
      </c>
      <c r="Q32" s="428" t="s">
        <v>224</v>
      </c>
      <c r="R32" s="421" t="s">
        <v>224</v>
      </c>
      <c r="S32" s="421" t="s">
        <v>224</v>
      </c>
      <c r="T32" s="421" t="s">
        <v>224</v>
      </c>
      <c r="U32" s="421" t="s">
        <v>224</v>
      </c>
      <c r="V32" s="421" t="s">
        <v>224</v>
      </c>
      <c r="W32" s="421" t="s">
        <v>224</v>
      </c>
      <c r="X32" s="428" t="s">
        <v>224</v>
      </c>
      <c r="Y32" s="421" t="s">
        <v>224</v>
      </c>
      <c r="Z32" s="421" t="s">
        <v>224</v>
      </c>
      <c r="AA32" s="421" t="s">
        <v>224</v>
      </c>
      <c r="AB32" s="421" t="s">
        <v>224</v>
      </c>
      <c r="AC32" s="421" t="s">
        <v>224</v>
      </c>
      <c r="AD32" s="421" t="s">
        <v>224</v>
      </c>
      <c r="AE32" s="428" t="s">
        <v>224</v>
      </c>
      <c r="AF32" s="421" t="s">
        <v>224</v>
      </c>
      <c r="AG32" s="421" t="s">
        <v>224</v>
      </c>
      <c r="AH32" s="421" t="s">
        <v>224</v>
      </c>
      <c r="AI32" s="411">
        <f t="shared" ref="AI32" si="40">COUNTIF(D32:AH32,"p")+COUNTIF(D32:AH32,"1/p")/2+COUNTIF(D32:AH32,"CĐ")</f>
        <v>0</v>
      </c>
      <c r="AJ32" s="411">
        <f t="shared" ref="AJ32" si="41">COUNTIF(D32:AH32,"Ô")+COUNTIF(D32:AH32,"R")+COUNTIF(D32:AH32,"1/2")/2+COUNTIF(D32:AH32,"Ts")</f>
        <v>0</v>
      </c>
      <c r="AK32" s="411">
        <f t="shared" ref="AK32" si="42">COUNTIF(D32:AH32,"Nb")+COUNTIF(D32:AH32,"L")+COUNTIF(D32:AH32,"T")+COUNTIF(D32:AH32,"1/LT")/2</f>
        <v>0</v>
      </c>
      <c r="AL32" s="412">
        <f t="shared" ref="AL32" si="43">SUM(D33:AH33)</f>
        <v>0</v>
      </c>
      <c r="AM32" s="411">
        <f t="shared" ref="AM32" si="44">COUNTIF(D32:AH32,"F1")+COUNTIF(D32:AH32,"1/F1")/2</f>
        <v>0</v>
      </c>
      <c r="AN32" s="411">
        <f t="shared" ref="AN32" si="45">COUNTIF(D32:AH32,"F")+COUNTIF(D32:AH32,"1/lt")/2</f>
        <v>0</v>
      </c>
      <c r="AO32" s="413">
        <f>COUNTIF(D32:AH32,"X")+COUNTIF(D32:AH32,"1/2")/2+COUNTIF(D32:AH32,"1/p")/2+COUNTIF(D32:AH32,"ĐH")</f>
        <v>31</v>
      </c>
      <c r="AP32" s="527"/>
    </row>
    <row r="33" spans="1:42" s="414" customFormat="1" ht="20.25" customHeight="1">
      <c r="A33" s="528"/>
      <c r="B33" s="533"/>
      <c r="C33" s="528"/>
      <c r="D33" s="442"/>
      <c r="E33" s="442"/>
      <c r="F33" s="427"/>
      <c r="G33" s="427"/>
      <c r="H33" s="427"/>
      <c r="I33" s="427"/>
      <c r="J33" s="429"/>
      <c r="K33" s="427"/>
      <c r="L33" s="427"/>
      <c r="M33" s="427"/>
      <c r="N33" s="427"/>
      <c r="O33" s="427"/>
      <c r="P33" s="427"/>
      <c r="Q33" s="429"/>
      <c r="R33" s="427"/>
      <c r="S33" s="427"/>
      <c r="T33" s="427"/>
      <c r="U33" s="427"/>
      <c r="V33" s="427"/>
      <c r="W33" s="427"/>
      <c r="X33" s="429"/>
      <c r="Y33" s="427"/>
      <c r="Z33" s="427"/>
      <c r="AA33" s="427"/>
      <c r="AB33" s="427"/>
      <c r="AC33" s="427"/>
      <c r="AD33" s="427"/>
      <c r="AE33" s="429"/>
      <c r="AF33" s="427"/>
      <c r="AG33" s="421"/>
      <c r="AH33" s="421"/>
      <c r="AI33" s="411"/>
      <c r="AJ33" s="411"/>
      <c r="AK33" s="411"/>
      <c r="AL33" s="412"/>
      <c r="AM33" s="411"/>
      <c r="AN33" s="411"/>
      <c r="AO33" s="413"/>
      <c r="AP33" s="528"/>
    </row>
    <row r="34" spans="1:42" s="414" customFormat="1" ht="18.75" customHeight="1">
      <c r="A34" s="527">
        <v>14</v>
      </c>
      <c r="B34" s="532" t="s">
        <v>305</v>
      </c>
      <c r="C34" s="527" t="s">
        <v>280</v>
      </c>
      <c r="D34" s="421" t="s">
        <v>224</v>
      </c>
      <c r="E34" s="421" t="s">
        <v>224</v>
      </c>
      <c r="F34" s="421" t="s">
        <v>224</v>
      </c>
      <c r="G34" s="421" t="s">
        <v>224</v>
      </c>
      <c r="H34" s="421" t="s">
        <v>224</v>
      </c>
      <c r="I34" s="421" t="s">
        <v>224</v>
      </c>
      <c r="J34" s="428" t="s">
        <v>224</v>
      </c>
      <c r="K34" s="421" t="s">
        <v>224</v>
      </c>
      <c r="L34" s="421" t="s">
        <v>224</v>
      </c>
      <c r="M34" s="421" t="s">
        <v>224</v>
      </c>
      <c r="N34" s="421" t="s">
        <v>224</v>
      </c>
      <c r="O34" s="421" t="s">
        <v>224</v>
      </c>
      <c r="P34" s="421" t="s">
        <v>224</v>
      </c>
      <c r="Q34" s="428" t="s">
        <v>224</v>
      </c>
      <c r="R34" s="421" t="s">
        <v>224</v>
      </c>
      <c r="S34" s="421" t="s">
        <v>224</v>
      </c>
      <c r="T34" s="421" t="s">
        <v>224</v>
      </c>
      <c r="U34" s="421" t="s">
        <v>224</v>
      </c>
      <c r="V34" s="421" t="s">
        <v>224</v>
      </c>
      <c r="W34" s="421" t="s">
        <v>224</v>
      </c>
      <c r="X34" s="428" t="s">
        <v>224</v>
      </c>
      <c r="Y34" s="421" t="s">
        <v>224</v>
      </c>
      <c r="Z34" s="421" t="s">
        <v>224</v>
      </c>
      <c r="AA34" s="421" t="s">
        <v>224</v>
      </c>
      <c r="AB34" s="421" t="s">
        <v>224</v>
      </c>
      <c r="AC34" s="421" t="s">
        <v>224</v>
      </c>
      <c r="AD34" s="421" t="s">
        <v>224</v>
      </c>
      <c r="AE34" s="428" t="s">
        <v>224</v>
      </c>
      <c r="AF34" s="421" t="s">
        <v>224</v>
      </c>
      <c r="AG34" s="421" t="s">
        <v>224</v>
      </c>
      <c r="AH34" s="421" t="s">
        <v>224</v>
      </c>
      <c r="AI34" s="411">
        <f>COUNTIF(D34:AH34,"p")+COUNTIF(D34:AH34,"1/p")/2+COUNTIF(D34:AH34,"CĐ")</f>
        <v>0</v>
      </c>
      <c r="AJ34" s="411">
        <f>COUNTIF(D34:AH34,"Ô")+COUNTIF(D34:AH34,"R")+COUNTIF(D34:AH34,"1/2")/2+COUNTIF(D34:AH34,"Ts")</f>
        <v>0</v>
      </c>
      <c r="AK34" s="411">
        <f>COUNTIF(D34:AH34,"Nb")+COUNTIF(D34:AH34,"L")+COUNTIF(D34:AH34,"T")+COUNTIF(D34:AH34,"1/LT")/2</f>
        <v>0</v>
      </c>
      <c r="AL34" s="412">
        <f>SUM(D35:AH35)</f>
        <v>0</v>
      </c>
      <c r="AM34" s="411">
        <f>COUNTIF(D34:AH34,"F1")+COUNTIF(D34:AH34,"1/F1")/2</f>
        <v>0</v>
      </c>
      <c r="AN34" s="411">
        <f>COUNTIF(D34:AH34,"F")+COUNTIF(D34:AH34,"1/lt")/2</f>
        <v>0</v>
      </c>
      <c r="AO34" s="413">
        <f>COUNTIF(D34:AH34,"X")+COUNTIF(D34:AH34,"1/2")/2+COUNTIF(D34:AH34,"1/p")/2+COUNTIF(D34:AH34,"ĐH")</f>
        <v>31</v>
      </c>
      <c r="AP34" s="534"/>
    </row>
    <row r="35" spans="1:42" s="414" customFormat="1" ht="18.75" customHeight="1">
      <c r="A35" s="528"/>
      <c r="B35" s="533"/>
      <c r="C35" s="528"/>
      <c r="D35" s="442"/>
      <c r="E35" s="442"/>
      <c r="F35" s="427"/>
      <c r="G35" s="427"/>
      <c r="H35" s="427"/>
      <c r="I35" s="427"/>
      <c r="J35" s="429"/>
      <c r="K35" s="427"/>
      <c r="L35" s="427"/>
      <c r="M35" s="427"/>
      <c r="N35" s="427"/>
      <c r="O35" s="427"/>
      <c r="P35" s="427"/>
      <c r="Q35" s="429"/>
      <c r="R35" s="427"/>
      <c r="S35" s="427"/>
      <c r="T35" s="427"/>
      <c r="U35" s="427"/>
      <c r="V35" s="427"/>
      <c r="W35" s="427"/>
      <c r="X35" s="429"/>
      <c r="Y35" s="427"/>
      <c r="Z35" s="427"/>
      <c r="AA35" s="427"/>
      <c r="AB35" s="427"/>
      <c r="AC35" s="427"/>
      <c r="AD35" s="427"/>
      <c r="AE35" s="429"/>
      <c r="AF35" s="427"/>
      <c r="AG35" s="421"/>
      <c r="AH35" s="427"/>
      <c r="AI35" s="411"/>
      <c r="AJ35" s="411"/>
      <c r="AK35" s="411"/>
      <c r="AL35" s="412"/>
      <c r="AM35" s="411"/>
      <c r="AN35" s="411"/>
      <c r="AO35" s="413">
        <f t="shared" ref="AO35:AO49" si="46">COUNTIF(D35:AH35,"X")+COUNTIF(D35:AH35,"1/2")/2+COUNTIF(D35:AH35,"1/p")/2+COUNTIF(D35:AH35,"ĐH")</f>
        <v>0</v>
      </c>
      <c r="AP35" s="535"/>
    </row>
    <row r="36" spans="1:42" s="414" customFormat="1" ht="18.75" customHeight="1">
      <c r="A36" s="527">
        <v>15</v>
      </c>
      <c r="B36" s="532" t="s">
        <v>299</v>
      </c>
      <c r="C36" s="527" t="s">
        <v>280</v>
      </c>
      <c r="D36" s="421" t="s">
        <v>224</v>
      </c>
      <c r="E36" s="421" t="s">
        <v>224</v>
      </c>
      <c r="F36" s="421" t="s">
        <v>224</v>
      </c>
      <c r="G36" s="421" t="s">
        <v>224</v>
      </c>
      <c r="H36" s="421" t="s">
        <v>224</v>
      </c>
      <c r="I36" s="421" t="s">
        <v>224</v>
      </c>
      <c r="J36" s="428" t="s">
        <v>224</v>
      </c>
      <c r="K36" s="421" t="s">
        <v>224</v>
      </c>
      <c r="L36" s="421" t="s">
        <v>224</v>
      </c>
      <c r="M36" s="421" t="s">
        <v>224</v>
      </c>
      <c r="N36" s="421" t="s">
        <v>224</v>
      </c>
      <c r="O36" s="421" t="s">
        <v>224</v>
      </c>
      <c r="P36" s="421" t="s">
        <v>224</v>
      </c>
      <c r="Q36" s="428" t="s">
        <v>224</v>
      </c>
      <c r="R36" s="421" t="s">
        <v>224</v>
      </c>
      <c r="S36" s="421" t="s">
        <v>224</v>
      </c>
      <c r="T36" s="421" t="s">
        <v>224</v>
      </c>
      <c r="U36" s="421" t="s">
        <v>224</v>
      </c>
      <c r="V36" s="421" t="s">
        <v>224</v>
      </c>
      <c r="W36" s="421" t="s">
        <v>224</v>
      </c>
      <c r="X36" s="428" t="s">
        <v>224</v>
      </c>
      <c r="Y36" s="421" t="s">
        <v>224</v>
      </c>
      <c r="Z36" s="421" t="s">
        <v>224</v>
      </c>
      <c r="AA36" s="421" t="s">
        <v>224</v>
      </c>
      <c r="AB36" s="421" t="s">
        <v>224</v>
      </c>
      <c r="AC36" s="421" t="s">
        <v>224</v>
      </c>
      <c r="AD36" s="421" t="s">
        <v>224</v>
      </c>
      <c r="AE36" s="428" t="s">
        <v>224</v>
      </c>
      <c r="AF36" s="421" t="s">
        <v>224</v>
      </c>
      <c r="AG36" s="421" t="s">
        <v>224</v>
      </c>
      <c r="AH36" s="421" t="s">
        <v>224</v>
      </c>
      <c r="AI36" s="411">
        <f t="shared" ref="AI36" si="47">COUNTIF(D36:AH36,"p")+COUNTIF(D36:AH36,"1/p")/2+COUNTIF(D36:AH36,"CĐ")</f>
        <v>0</v>
      </c>
      <c r="AJ36" s="411">
        <f t="shared" ref="AJ36" si="48">COUNTIF(D36:AH36,"Ô")+COUNTIF(D36:AH36,"R")+COUNTIF(D36:AH36,"1/2")/2+COUNTIF(D36:AH36,"Ts")</f>
        <v>0</v>
      </c>
      <c r="AK36" s="411">
        <f t="shared" ref="AK36" si="49">COUNTIF(D36:AH36,"Nb")+COUNTIF(D36:AH36,"L")+COUNTIF(D36:AH36,"T")+COUNTIF(D36:AH36,"1/LT")/2</f>
        <v>0</v>
      </c>
      <c r="AL36" s="412">
        <f t="shared" ref="AL36" si="50">SUM(D37:AH37)</f>
        <v>0</v>
      </c>
      <c r="AM36" s="411">
        <f t="shared" ref="AM36" si="51">COUNTIF(D36:AH36,"F1")+COUNTIF(D36:AH36,"1/F1")/2</f>
        <v>0</v>
      </c>
      <c r="AN36" s="411">
        <f t="shared" ref="AN36" si="52">COUNTIF(D36:AH36,"F")+COUNTIF(D36:AH36,"1/lt")/2</f>
        <v>0</v>
      </c>
      <c r="AO36" s="413">
        <f t="shared" si="46"/>
        <v>31</v>
      </c>
      <c r="AP36" s="527"/>
    </row>
    <row r="37" spans="1:42" s="414" customFormat="1" ht="18.75" customHeight="1">
      <c r="A37" s="528"/>
      <c r="B37" s="533"/>
      <c r="C37" s="528"/>
      <c r="D37" s="442"/>
      <c r="E37" s="442"/>
      <c r="F37" s="427"/>
      <c r="G37" s="427"/>
      <c r="H37" s="427"/>
      <c r="I37" s="427"/>
      <c r="J37" s="429"/>
      <c r="K37" s="427"/>
      <c r="L37" s="427"/>
      <c r="M37" s="427"/>
      <c r="N37" s="427"/>
      <c r="O37" s="427"/>
      <c r="P37" s="427"/>
      <c r="Q37" s="429"/>
      <c r="R37" s="427"/>
      <c r="S37" s="427"/>
      <c r="T37" s="427"/>
      <c r="U37" s="427"/>
      <c r="V37" s="427"/>
      <c r="W37" s="427"/>
      <c r="X37" s="429"/>
      <c r="Y37" s="427"/>
      <c r="Z37" s="427"/>
      <c r="AA37" s="427"/>
      <c r="AB37" s="427"/>
      <c r="AC37" s="427"/>
      <c r="AD37" s="427"/>
      <c r="AE37" s="429"/>
      <c r="AF37" s="422"/>
      <c r="AG37" s="421"/>
      <c r="AH37" s="422"/>
      <c r="AI37" s="411"/>
      <c r="AJ37" s="411"/>
      <c r="AK37" s="411"/>
      <c r="AL37" s="412"/>
      <c r="AM37" s="411"/>
      <c r="AN37" s="411"/>
      <c r="AO37" s="413">
        <f t="shared" si="46"/>
        <v>0</v>
      </c>
      <c r="AP37" s="528"/>
    </row>
    <row r="38" spans="1:42" s="414" customFormat="1" ht="18.75" customHeight="1">
      <c r="A38" s="527">
        <v>16</v>
      </c>
      <c r="B38" s="564" t="s">
        <v>314</v>
      </c>
      <c r="C38" s="527" t="s">
        <v>280</v>
      </c>
      <c r="D38" s="421" t="s">
        <v>224</v>
      </c>
      <c r="E38" s="421" t="s">
        <v>224</v>
      </c>
      <c r="F38" s="421" t="s">
        <v>224</v>
      </c>
      <c r="G38" s="421" t="s">
        <v>224</v>
      </c>
      <c r="H38" s="421" t="s">
        <v>224</v>
      </c>
      <c r="I38" s="421" t="s">
        <v>224</v>
      </c>
      <c r="J38" s="428" t="s">
        <v>224</v>
      </c>
      <c r="K38" s="421" t="s">
        <v>224</v>
      </c>
      <c r="L38" s="421" t="s">
        <v>224</v>
      </c>
      <c r="M38" s="421" t="s">
        <v>224</v>
      </c>
      <c r="N38" s="421" t="s">
        <v>224</v>
      </c>
      <c r="O38" s="421" t="s">
        <v>224</v>
      </c>
      <c r="P38" s="421" t="s">
        <v>224</v>
      </c>
      <c r="Q38" s="428" t="s">
        <v>224</v>
      </c>
      <c r="R38" s="421" t="s">
        <v>224</v>
      </c>
      <c r="S38" s="421" t="s">
        <v>224</v>
      </c>
      <c r="T38" s="421" t="s">
        <v>224</v>
      </c>
      <c r="U38" s="421" t="s">
        <v>224</v>
      </c>
      <c r="V38" s="421" t="s">
        <v>224</v>
      </c>
      <c r="W38" s="421" t="s">
        <v>224</v>
      </c>
      <c r="X38" s="428" t="s">
        <v>224</v>
      </c>
      <c r="Y38" s="421" t="s">
        <v>224</v>
      </c>
      <c r="Z38" s="421" t="s">
        <v>224</v>
      </c>
      <c r="AA38" s="421" t="s">
        <v>224</v>
      </c>
      <c r="AB38" s="421" t="s">
        <v>224</v>
      </c>
      <c r="AC38" s="421" t="s">
        <v>224</v>
      </c>
      <c r="AD38" s="421" t="s">
        <v>224</v>
      </c>
      <c r="AE38" s="428" t="s">
        <v>224</v>
      </c>
      <c r="AF38" s="421" t="s">
        <v>224</v>
      </c>
      <c r="AG38" s="421" t="s">
        <v>224</v>
      </c>
      <c r="AH38" s="421" t="s">
        <v>224</v>
      </c>
      <c r="AI38" s="411">
        <f>COUNTIF(D38:AH38,"p")+COUNTIF(D38:AH38,"1/p")/2+COUNTIF(D38:AH38,"CĐ")</f>
        <v>0</v>
      </c>
      <c r="AJ38" s="411">
        <f>COUNTIF(D38:AH38,"Ô")+COUNTIF(D38:AH38,"R")+COUNTIF(D38:AH38,"1/2")/2+COUNTIF(D38:AH38,"Ts")</f>
        <v>0</v>
      </c>
      <c r="AK38" s="411">
        <f>COUNTIF(D38:AH38,"Nb")+COUNTIF(D38:AH38,"L")+COUNTIF(D38:AH38,"T")+COUNTIF(D38:AH38,"1/LT")/2</f>
        <v>0</v>
      </c>
      <c r="AL38" s="412">
        <f>SUM(D39:AH39)</f>
        <v>0</v>
      </c>
      <c r="AM38" s="411">
        <f>COUNTIF(D38:AH38,"F1")+COUNTIF(D38:AH38,"1/F1")/2</f>
        <v>0</v>
      </c>
      <c r="AN38" s="411">
        <f>COUNTIF(D38:AH38,"F")+COUNTIF(D38:AH38,"1/lt")/2</f>
        <v>0</v>
      </c>
      <c r="AO38" s="413">
        <f t="shared" si="46"/>
        <v>31</v>
      </c>
      <c r="AP38" s="534"/>
    </row>
    <row r="39" spans="1:42" s="414" customFormat="1" ht="18.75" customHeight="1">
      <c r="A39" s="528"/>
      <c r="B39" s="564"/>
      <c r="C39" s="528"/>
      <c r="D39" s="442"/>
      <c r="E39" s="442"/>
      <c r="F39" s="427"/>
      <c r="G39" s="427"/>
      <c r="H39" s="427"/>
      <c r="I39" s="427"/>
      <c r="J39" s="429"/>
      <c r="K39" s="427"/>
      <c r="L39" s="427"/>
      <c r="M39" s="427"/>
      <c r="N39" s="427"/>
      <c r="O39" s="427"/>
      <c r="P39" s="427"/>
      <c r="Q39" s="429"/>
      <c r="R39" s="427"/>
      <c r="S39" s="427"/>
      <c r="T39" s="427"/>
      <c r="U39" s="427"/>
      <c r="V39" s="427"/>
      <c r="W39" s="427"/>
      <c r="X39" s="429"/>
      <c r="Y39" s="427"/>
      <c r="Z39" s="427"/>
      <c r="AA39" s="427"/>
      <c r="AB39" s="427"/>
      <c r="AC39" s="427"/>
      <c r="AD39" s="427"/>
      <c r="AE39" s="429"/>
      <c r="AF39" s="427"/>
      <c r="AG39" s="421"/>
      <c r="AH39" s="427"/>
      <c r="AI39" s="411"/>
      <c r="AJ39" s="411"/>
      <c r="AK39" s="411"/>
      <c r="AL39" s="412"/>
      <c r="AM39" s="411"/>
      <c r="AN39" s="411"/>
      <c r="AO39" s="413">
        <f t="shared" si="46"/>
        <v>0</v>
      </c>
      <c r="AP39" s="535"/>
    </row>
    <row r="40" spans="1:42" s="414" customFormat="1" ht="18.75" customHeight="1">
      <c r="A40" s="527">
        <v>17</v>
      </c>
      <c r="B40" s="564" t="s">
        <v>309</v>
      </c>
      <c r="C40" s="527" t="s">
        <v>280</v>
      </c>
      <c r="D40" s="421" t="s">
        <v>224</v>
      </c>
      <c r="E40" s="421" t="s">
        <v>224</v>
      </c>
      <c r="F40" s="421" t="s">
        <v>224</v>
      </c>
      <c r="G40" s="421" t="s">
        <v>224</v>
      </c>
      <c r="H40" s="421" t="s">
        <v>224</v>
      </c>
      <c r="I40" s="421" t="s">
        <v>224</v>
      </c>
      <c r="J40" s="428" t="s">
        <v>224</v>
      </c>
      <c r="K40" s="421" t="s">
        <v>224</v>
      </c>
      <c r="L40" s="421" t="s">
        <v>224</v>
      </c>
      <c r="M40" s="421" t="s">
        <v>224</v>
      </c>
      <c r="N40" s="421" t="s">
        <v>224</v>
      </c>
      <c r="O40" s="421" t="s">
        <v>224</v>
      </c>
      <c r="P40" s="421" t="s">
        <v>224</v>
      </c>
      <c r="Q40" s="428" t="s">
        <v>224</v>
      </c>
      <c r="R40" s="421" t="s">
        <v>224</v>
      </c>
      <c r="S40" s="421" t="s">
        <v>224</v>
      </c>
      <c r="T40" s="421" t="s">
        <v>224</v>
      </c>
      <c r="U40" s="421" t="s">
        <v>224</v>
      </c>
      <c r="V40" s="421" t="s">
        <v>224</v>
      </c>
      <c r="W40" s="421" t="s">
        <v>224</v>
      </c>
      <c r="X40" s="428" t="s">
        <v>224</v>
      </c>
      <c r="Y40" s="421" t="s">
        <v>224</v>
      </c>
      <c r="Z40" s="421" t="s">
        <v>224</v>
      </c>
      <c r="AA40" s="421" t="s">
        <v>224</v>
      </c>
      <c r="AB40" s="421" t="s">
        <v>224</v>
      </c>
      <c r="AC40" s="421" t="s">
        <v>224</v>
      </c>
      <c r="AD40" s="421" t="s">
        <v>224</v>
      </c>
      <c r="AE40" s="428" t="s">
        <v>224</v>
      </c>
      <c r="AF40" s="421" t="s">
        <v>224</v>
      </c>
      <c r="AG40" s="421" t="s">
        <v>224</v>
      </c>
      <c r="AH40" s="421" t="s">
        <v>224</v>
      </c>
      <c r="AI40" s="411">
        <f>COUNTIF(D40:AH40,"p")+COUNTIF(D40:AH40,"1/p")/2+COUNTIF(D40:AH40,"CĐ")</f>
        <v>0</v>
      </c>
      <c r="AJ40" s="411">
        <f>COUNTIF(D40:AH40,"Ô")+COUNTIF(D40:AH40,"R")+COUNTIF(D40:AH40,"1/2")/2+COUNTIF(D40:AH40,"Ts")</f>
        <v>0</v>
      </c>
      <c r="AK40" s="411">
        <f>COUNTIF(D40:AH40,"Nb")+COUNTIF(D40:AH40,"L")+COUNTIF(D40:AH40,"T")+COUNTIF(D40:AH40,"1/LT")/2</f>
        <v>0</v>
      </c>
      <c r="AL40" s="412">
        <f>SUM(D41:AH41)</f>
        <v>0</v>
      </c>
      <c r="AM40" s="411">
        <f>COUNTIF(D40:AH40,"F1")+COUNTIF(D40:AH40,"1/F1")/2</f>
        <v>0</v>
      </c>
      <c r="AN40" s="411">
        <f>COUNTIF(D40:AH40,"F")+COUNTIF(D40:AH40,"1/lt")/2</f>
        <v>0</v>
      </c>
      <c r="AO40" s="413">
        <f t="shared" si="46"/>
        <v>31</v>
      </c>
      <c r="AP40" s="534"/>
    </row>
    <row r="41" spans="1:42" s="414" customFormat="1" ht="18.75" customHeight="1">
      <c r="A41" s="528"/>
      <c r="B41" s="564"/>
      <c r="C41" s="528"/>
      <c r="D41" s="442"/>
      <c r="E41" s="442"/>
      <c r="F41" s="427"/>
      <c r="G41" s="427"/>
      <c r="H41" s="427"/>
      <c r="I41" s="427"/>
      <c r="J41" s="429"/>
      <c r="K41" s="427"/>
      <c r="L41" s="427"/>
      <c r="M41" s="427"/>
      <c r="N41" s="427"/>
      <c r="O41" s="427"/>
      <c r="P41" s="427"/>
      <c r="Q41" s="429"/>
      <c r="R41" s="427"/>
      <c r="S41" s="427"/>
      <c r="T41" s="427"/>
      <c r="U41" s="427"/>
      <c r="V41" s="427"/>
      <c r="W41" s="427"/>
      <c r="X41" s="429"/>
      <c r="Y41" s="427"/>
      <c r="Z41" s="427"/>
      <c r="AA41" s="427"/>
      <c r="AB41" s="427"/>
      <c r="AC41" s="427"/>
      <c r="AD41" s="427"/>
      <c r="AE41" s="429"/>
      <c r="AF41" s="427"/>
      <c r="AG41" s="421"/>
      <c r="AH41" s="427"/>
      <c r="AI41" s="411"/>
      <c r="AJ41" s="411"/>
      <c r="AK41" s="411"/>
      <c r="AL41" s="412"/>
      <c r="AM41" s="411"/>
      <c r="AN41" s="411"/>
      <c r="AO41" s="413">
        <f t="shared" si="46"/>
        <v>0</v>
      </c>
      <c r="AP41" s="535"/>
    </row>
    <row r="42" spans="1:42" s="414" customFormat="1" ht="18.75" customHeight="1">
      <c r="A42" s="527">
        <v>18</v>
      </c>
      <c r="B42" s="564" t="s">
        <v>310</v>
      </c>
      <c r="C42" s="527" t="s">
        <v>280</v>
      </c>
      <c r="D42" s="421" t="s">
        <v>224</v>
      </c>
      <c r="E42" s="421" t="s">
        <v>224</v>
      </c>
      <c r="F42" s="421" t="s">
        <v>224</v>
      </c>
      <c r="G42" s="421" t="s">
        <v>224</v>
      </c>
      <c r="H42" s="421" t="s">
        <v>224</v>
      </c>
      <c r="I42" s="421" t="s">
        <v>224</v>
      </c>
      <c r="J42" s="428" t="s">
        <v>224</v>
      </c>
      <c r="K42" s="421" t="s">
        <v>224</v>
      </c>
      <c r="L42" s="421" t="s">
        <v>224</v>
      </c>
      <c r="M42" s="421" t="s">
        <v>224</v>
      </c>
      <c r="N42" s="421" t="s">
        <v>224</v>
      </c>
      <c r="O42" s="421" t="s">
        <v>224</v>
      </c>
      <c r="P42" s="421" t="s">
        <v>224</v>
      </c>
      <c r="Q42" s="428" t="s">
        <v>224</v>
      </c>
      <c r="R42" s="421" t="s">
        <v>224</v>
      </c>
      <c r="S42" s="421" t="s">
        <v>224</v>
      </c>
      <c r="T42" s="421" t="s">
        <v>224</v>
      </c>
      <c r="U42" s="421" t="s">
        <v>224</v>
      </c>
      <c r="V42" s="421" t="s">
        <v>224</v>
      </c>
      <c r="W42" s="421" t="s">
        <v>224</v>
      </c>
      <c r="X42" s="428" t="s">
        <v>224</v>
      </c>
      <c r="Y42" s="421" t="s">
        <v>224</v>
      </c>
      <c r="Z42" s="421" t="s">
        <v>224</v>
      </c>
      <c r="AA42" s="421" t="s">
        <v>224</v>
      </c>
      <c r="AB42" s="421" t="s">
        <v>224</v>
      </c>
      <c r="AC42" s="421" t="s">
        <v>224</v>
      </c>
      <c r="AD42" s="421" t="s">
        <v>224</v>
      </c>
      <c r="AE42" s="428" t="s">
        <v>224</v>
      </c>
      <c r="AF42" s="421" t="s">
        <v>224</v>
      </c>
      <c r="AG42" s="421" t="s">
        <v>224</v>
      </c>
      <c r="AH42" s="421" t="s">
        <v>224</v>
      </c>
      <c r="AI42" s="411">
        <f>COUNTIF(D42:AH42,"p")+COUNTIF(D42:AH42,"1/p")/2+COUNTIF(D42:AH42,"CĐ")</f>
        <v>0</v>
      </c>
      <c r="AJ42" s="411">
        <f>COUNTIF(D42:AH42,"Ô")+COUNTIF(D42:AH42,"R")+COUNTIF(D42:AH42,"1/2")/2+COUNTIF(D42:AH42,"Ts")</f>
        <v>0</v>
      </c>
      <c r="AK42" s="411">
        <f>COUNTIF(D42:AH42,"Nb")+COUNTIF(D42:AH42,"L")+COUNTIF(D42:AH42,"T")+COUNTIF(D42:AH42,"1/LT")/2</f>
        <v>0</v>
      </c>
      <c r="AL42" s="412">
        <f>SUM(D43:AH43)</f>
        <v>0</v>
      </c>
      <c r="AM42" s="411">
        <f>COUNTIF(D42:AH42,"F1")+COUNTIF(D42:AH42,"1/F1")/2</f>
        <v>0</v>
      </c>
      <c r="AN42" s="411">
        <f>COUNTIF(D42:AH42,"F")+COUNTIF(D42:AH42,"1/lt")/2</f>
        <v>0</v>
      </c>
      <c r="AO42" s="413">
        <f t="shared" si="46"/>
        <v>31</v>
      </c>
      <c r="AP42" s="534"/>
    </row>
    <row r="43" spans="1:42" s="414" customFormat="1" ht="18.75" customHeight="1">
      <c r="A43" s="528"/>
      <c r="B43" s="564"/>
      <c r="C43" s="528"/>
      <c r="D43" s="442"/>
      <c r="E43" s="442"/>
      <c r="F43" s="427"/>
      <c r="G43" s="427"/>
      <c r="H43" s="427"/>
      <c r="I43" s="427"/>
      <c r="J43" s="429"/>
      <c r="K43" s="427"/>
      <c r="L43" s="427"/>
      <c r="M43" s="427"/>
      <c r="N43" s="427"/>
      <c r="O43" s="427"/>
      <c r="P43" s="427"/>
      <c r="Q43" s="429"/>
      <c r="R43" s="427"/>
      <c r="S43" s="427"/>
      <c r="T43" s="427"/>
      <c r="U43" s="427"/>
      <c r="V43" s="427"/>
      <c r="W43" s="427"/>
      <c r="X43" s="429"/>
      <c r="Y43" s="427"/>
      <c r="Z43" s="427"/>
      <c r="AA43" s="427"/>
      <c r="AB43" s="427"/>
      <c r="AC43" s="427"/>
      <c r="AD43" s="427"/>
      <c r="AE43" s="429"/>
      <c r="AF43" s="427"/>
      <c r="AG43" s="421"/>
      <c r="AH43" s="427"/>
      <c r="AI43" s="411"/>
      <c r="AJ43" s="411"/>
      <c r="AK43" s="411"/>
      <c r="AL43" s="412"/>
      <c r="AM43" s="411"/>
      <c r="AN43" s="411"/>
      <c r="AO43" s="413">
        <f t="shared" si="46"/>
        <v>0</v>
      </c>
      <c r="AP43" s="535"/>
    </row>
    <row r="44" spans="1:42" s="414" customFormat="1" ht="18.75" customHeight="1">
      <c r="A44" s="527">
        <v>19</v>
      </c>
      <c r="B44" s="564" t="s">
        <v>315</v>
      </c>
      <c r="C44" s="527" t="s">
        <v>280</v>
      </c>
      <c r="D44" s="421" t="s">
        <v>224</v>
      </c>
      <c r="E44" s="421" t="s">
        <v>224</v>
      </c>
      <c r="F44" s="421" t="s">
        <v>224</v>
      </c>
      <c r="G44" s="421" t="s">
        <v>224</v>
      </c>
      <c r="H44" s="421" t="s">
        <v>224</v>
      </c>
      <c r="I44" s="421" t="s">
        <v>224</v>
      </c>
      <c r="J44" s="428" t="s">
        <v>224</v>
      </c>
      <c r="K44" s="421" t="s">
        <v>224</v>
      </c>
      <c r="L44" s="421" t="s">
        <v>224</v>
      </c>
      <c r="M44" s="421" t="s">
        <v>224</v>
      </c>
      <c r="N44" s="421" t="s">
        <v>224</v>
      </c>
      <c r="O44" s="421" t="s">
        <v>224</v>
      </c>
      <c r="P44" s="421" t="s">
        <v>224</v>
      </c>
      <c r="Q44" s="428" t="s">
        <v>224</v>
      </c>
      <c r="R44" s="421" t="s">
        <v>224</v>
      </c>
      <c r="S44" s="421" t="s">
        <v>224</v>
      </c>
      <c r="T44" s="421"/>
      <c r="U44" s="421" t="s">
        <v>224</v>
      </c>
      <c r="V44" s="421" t="s">
        <v>224</v>
      </c>
      <c r="W44" s="421" t="s">
        <v>224</v>
      </c>
      <c r="X44" s="428" t="s">
        <v>224</v>
      </c>
      <c r="Y44" s="421" t="s">
        <v>224</v>
      </c>
      <c r="Z44" s="421" t="s">
        <v>224</v>
      </c>
      <c r="AA44" s="421" t="s">
        <v>224</v>
      </c>
      <c r="AB44" s="421" t="s">
        <v>224</v>
      </c>
      <c r="AC44" s="421" t="s">
        <v>224</v>
      </c>
      <c r="AD44" s="421" t="s">
        <v>224</v>
      </c>
      <c r="AE44" s="428" t="s">
        <v>224</v>
      </c>
      <c r="AF44" s="421" t="s">
        <v>224</v>
      </c>
      <c r="AG44" s="421" t="s">
        <v>224</v>
      </c>
      <c r="AH44" s="421" t="s">
        <v>224</v>
      </c>
      <c r="AI44" s="411">
        <f>COUNTIF(D44:AH44,"p")+COUNTIF(D44:AH44,"1/p")/2+COUNTIF(D44:AH44,"CĐ")</f>
        <v>0</v>
      </c>
      <c r="AJ44" s="411">
        <f>COUNTIF(D44:AH44,"Ô")+COUNTIF(D44:AH44,"R")+COUNTIF(D44:AH44,"1/2")/2+COUNTIF(D44:AH44,"Ts")</f>
        <v>0</v>
      </c>
      <c r="AK44" s="411">
        <f>COUNTIF(D44:AH44,"Nb")+COUNTIF(D44:AH44,"L")+COUNTIF(D44:AH44,"T")+COUNTIF(D44:AH44,"1/LT")/2</f>
        <v>0</v>
      </c>
      <c r="AL44" s="412">
        <f>SUM(D45:AH45)</f>
        <v>0</v>
      </c>
      <c r="AM44" s="411">
        <f>COUNTIF(D44:AH44,"F1")+COUNTIF(D44:AH44,"1/F1")/2</f>
        <v>0</v>
      </c>
      <c r="AN44" s="411">
        <f>COUNTIF(D44:AH44,"F")+COUNTIF(D44:AH44,"1/lt")/2</f>
        <v>0</v>
      </c>
      <c r="AO44" s="413">
        <f t="shared" si="46"/>
        <v>30</v>
      </c>
      <c r="AP44" s="534"/>
    </row>
    <row r="45" spans="1:42" s="414" customFormat="1" ht="18.75" customHeight="1">
      <c r="A45" s="528"/>
      <c r="B45" s="564"/>
      <c r="C45" s="528"/>
      <c r="D45" s="442"/>
      <c r="E45" s="442"/>
      <c r="F45" s="427"/>
      <c r="G45" s="427"/>
      <c r="H45" s="427"/>
      <c r="I45" s="427"/>
      <c r="J45" s="429"/>
      <c r="K45" s="427"/>
      <c r="L45" s="427"/>
      <c r="M45" s="427"/>
      <c r="N45" s="427"/>
      <c r="O45" s="427"/>
      <c r="P45" s="427"/>
      <c r="Q45" s="429"/>
      <c r="R45" s="427"/>
      <c r="S45" s="427"/>
      <c r="T45" s="427"/>
      <c r="U45" s="427"/>
      <c r="V45" s="427"/>
      <c r="W45" s="427"/>
      <c r="X45" s="429"/>
      <c r="Y45" s="427"/>
      <c r="Z45" s="427"/>
      <c r="AA45" s="427"/>
      <c r="AB45" s="427"/>
      <c r="AC45" s="427"/>
      <c r="AD45" s="427"/>
      <c r="AE45" s="429"/>
      <c r="AF45" s="427"/>
      <c r="AG45" s="427"/>
      <c r="AH45" s="427"/>
      <c r="AI45" s="411"/>
      <c r="AJ45" s="411"/>
      <c r="AK45" s="411"/>
      <c r="AL45" s="412"/>
      <c r="AM45" s="411"/>
      <c r="AN45" s="411"/>
      <c r="AO45" s="413">
        <f t="shared" si="46"/>
        <v>0</v>
      </c>
      <c r="AP45" s="535"/>
    </row>
    <row r="46" spans="1:42" s="414" customFormat="1" ht="18.75" customHeight="1">
      <c r="A46" s="527">
        <v>20</v>
      </c>
      <c r="B46" s="564" t="s">
        <v>316</v>
      </c>
      <c r="C46" s="527" t="s">
        <v>280</v>
      </c>
      <c r="D46" s="421" t="s">
        <v>224</v>
      </c>
      <c r="E46" s="421" t="s">
        <v>224</v>
      </c>
      <c r="F46" s="421" t="s">
        <v>224</v>
      </c>
      <c r="G46" s="421" t="s">
        <v>224</v>
      </c>
      <c r="H46" s="421" t="s">
        <v>224</v>
      </c>
      <c r="I46" s="421" t="s">
        <v>224</v>
      </c>
      <c r="J46" s="428" t="s">
        <v>224</v>
      </c>
      <c r="K46" s="421" t="s">
        <v>224</v>
      </c>
      <c r="L46" s="421" t="s">
        <v>224</v>
      </c>
      <c r="M46" s="421" t="s">
        <v>224</v>
      </c>
      <c r="N46" s="421" t="s">
        <v>224</v>
      </c>
      <c r="O46" s="421" t="s">
        <v>224</v>
      </c>
      <c r="P46" s="421" t="s">
        <v>224</v>
      </c>
      <c r="Q46" s="428" t="s">
        <v>224</v>
      </c>
      <c r="R46" s="421" t="s">
        <v>224</v>
      </c>
      <c r="S46" s="421" t="s">
        <v>224</v>
      </c>
      <c r="T46" s="421" t="s">
        <v>224</v>
      </c>
      <c r="U46" s="421" t="s">
        <v>224</v>
      </c>
      <c r="V46" s="421" t="s">
        <v>224</v>
      </c>
      <c r="W46" s="421" t="s">
        <v>224</v>
      </c>
      <c r="X46" s="428" t="s">
        <v>224</v>
      </c>
      <c r="Y46" s="421" t="s">
        <v>224</v>
      </c>
      <c r="Z46" s="421" t="s">
        <v>224</v>
      </c>
      <c r="AA46" s="421" t="s">
        <v>224</v>
      </c>
      <c r="AB46" s="421" t="s">
        <v>224</v>
      </c>
      <c r="AC46" s="421" t="s">
        <v>224</v>
      </c>
      <c r="AD46" s="421" t="s">
        <v>224</v>
      </c>
      <c r="AE46" s="428" t="s">
        <v>224</v>
      </c>
      <c r="AF46" s="421" t="s">
        <v>224</v>
      </c>
      <c r="AG46" s="421" t="s">
        <v>224</v>
      </c>
      <c r="AH46" s="421" t="s">
        <v>224</v>
      </c>
      <c r="AI46" s="411">
        <f>COUNTIF(D46:AH46,"p")+COUNTIF(D46:AH46,"1/p")/2+COUNTIF(D46:AH46,"CĐ")</f>
        <v>0</v>
      </c>
      <c r="AJ46" s="411">
        <f>COUNTIF(D46:AH46,"Ô")+COUNTIF(D46:AH46,"R")+COUNTIF(D46:AH46,"1/2")/2+COUNTIF(D46:AH46,"Ts")</f>
        <v>0</v>
      </c>
      <c r="AK46" s="411">
        <f>COUNTIF(D46:AH46,"Nb")+COUNTIF(D46:AH46,"L")+COUNTIF(D46:AH46,"T")+COUNTIF(D46:AH46,"1/LT")/2</f>
        <v>0</v>
      </c>
      <c r="AL46" s="412">
        <f>SUM(D47:AH47)</f>
        <v>0</v>
      </c>
      <c r="AM46" s="411">
        <f>COUNTIF(D46:AH46,"F1")+COUNTIF(D46:AH46,"1/F1")/2</f>
        <v>0</v>
      </c>
      <c r="AN46" s="411">
        <f>COUNTIF(D46:AH46,"F")+COUNTIF(D46:AH46,"1/lt")/2</f>
        <v>0</v>
      </c>
      <c r="AO46" s="413">
        <f t="shared" si="46"/>
        <v>31</v>
      </c>
      <c r="AP46" s="534"/>
    </row>
    <row r="47" spans="1:42" s="414" customFormat="1" ht="18.75" customHeight="1">
      <c r="A47" s="528"/>
      <c r="B47" s="564"/>
      <c r="C47" s="528"/>
      <c r="D47" s="442"/>
      <c r="E47" s="442"/>
      <c r="F47" s="427"/>
      <c r="G47" s="427"/>
      <c r="H47" s="427"/>
      <c r="I47" s="427"/>
      <c r="J47" s="429"/>
      <c r="K47" s="427"/>
      <c r="L47" s="427"/>
      <c r="M47" s="427"/>
      <c r="N47" s="427"/>
      <c r="O47" s="427"/>
      <c r="P47" s="427"/>
      <c r="Q47" s="429"/>
      <c r="R47" s="427"/>
      <c r="S47" s="427"/>
      <c r="T47" s="427"/>
      <c r="U47" s="427"/>
      <c r="V47" s="427"/>
      <c r="W47" s="427"/>
      <c r="X47" s="429"/>
      <c r="Y47" s="427"/>
      <c r="Z47" s="427"/>
      <c r="AA47" s="427"/>
      <c r="AB47" s="427"/>
      <c r="AC47" s="427"/>
      <c r="AD47" s="427"/>
      <c r="AE47" s="429"/>
      <c r="AF47" s="427"/>
      <c r="AG47" s="427"/>
      <c r="AH47" s="427"/>
      <c r="AI47" s="411"/>
      <c r="AJ47" s="411"/>
      <c r="AK47" s="411"/>
      <c r="AL47" s="412"/>
      <c r="AM47" s="411"/>
      <c r="AN47" s="411"/>
      <c r="AO47" s="413">
        <f t="shared" si="46"/>
        <v>0</v>
      </c>
      <c r="AP47" s="535"/>
    </row>
    <row r="48" spans="1:42" s="414" customFormat="1" ht="18.75" customHeight="1">
      <c r="A48" s="527">
        <v>21</v>
      </c>
      <c r="B48" s="564" t="s">
        <v>321</v>
      </c>
      <c r="C48" s="527" t="s">
        <v>280</v>
      </c>
      <c r="D48" s="421" t="s">
        <v>224</v>
      </c>
      <c r="E48" s="421" t="s">
        <v>224</v>
      </c>
      <c r="F48" s="421" t="s">
        <v>224</v>
      </c>
      <c r="G48" s="421" t="s">
        <v>224</v>
      </c>
      <c r="H48" s="421" t="s">
        <v>224</v>
      </c>
      <c r="I48" s="421" t="s">
        <v>224</v>
      </c>
      <c r="J48" s="428" t="s">
        <v>224</v>
      </c>
      <c r="K48" s="421" t="s">
        <v>224</v>
      </c>
      <c r="L48" s="421" t="s">
        <v>224</v>
      </c>
      <c r="M48" s="421" t="s">
        <v>224</v>
      </c>
      <c r="N48" s="421" t="s">
        <v>224</v>
      </c>
      <c r="O48" s="421" t="s">
        <v>224</v>
      </c>
      <c r="P48" s="421" t="s">
        <v>224</v>
      </c>
      <c r="Q48" s="428" t="s">
        <v>224</v>
      </c>
      <c r="R48" s="421" t="s">
        <v>224</v>
      </c>
      <c r="S48" s="421" t="s">
        <v>224</v>
      </c>
      <c r="T48" s="421" t="s">
        <v>224</v>
      </c>
      <c r="U48" s="421" t="s">
        <v>224</v>
      </c>
      <c r="V48" s="421" t="s">
        <v>224</v>
      </c>
      <c r="W48" s="421" t="s">
        <v>224</v>
      </c>
      <c r="X48" s="428" t="s">
        <v>224</v>
      </c>
      <c r="Y48" s="421" t="s">
        <v>224</v>
      </c>
      <c r="Z48" s="421" t="s">
        <v>224</v>
      </c>
      <c r="AA48" s="421" t="s">
        <v>224</v>
      </c>
      <c r="AB48" s="421" t="s">
        <v>224</v>
      </c>
      <c r="AC48" s="421" t="s">
        <v>224</v>
      </c>
      <c r="AD48" s="421"/>
      <c r="AE48" s="428"/>
      <c r="AF48" s="421" t="s">
        <v>224</v>
      </c>
      <c r="AG48" s="421" t="s">
        <v>224</v>
      </c>
      <c r="AH48" s="421" t="s">
        <v>224</v>
      </c>
      <c r="AI48" s="411">
        <f>COUNTIF(D48:AH48,"p")+COUNTIF(D48:AH48,"1/p")/2+COUNTIF(D48:AH48,"CĐ")</f>
        <v>0</v>
      </c>
      <c r="AJ48" s="411">
        <f>COUNTIF(D48:AH48,"Ô")+COUNTIF(D48:AH48,"R")+COUNTIF(D48:AH48,"1/2")/2+COUNTIF(D48:AH48,"Ts")</f>
        <v>0</v>
      </c>
      <c r="AK48" s="411">
        <f>COUNTIF(D48:AH48,"Nb")+COUNTIF(D48:AH48,"L")+COUNTIF(D48:AH48,"T")+COUNTIF(D48:AH48,"1/LT")/2</f>
        <v>0</v>
      </c>
      <c r="AL48" s="412">
        <f>SUM(D49:AH49)</f>
        <v>6</v>
      </c>
      <c r="AM48" s="411">
        <f>COUNTIF(D48:AH48,"F1")+COUNTIF(D48:AH48,"1/F1")/2</f>
        <v>0</v>
      </c>
      <c r="AN48" s="411">
        <f>COUNTIF(D48:AH48,"F")+COUNTIF(D48:AH48,"1/lt")/2</f>
        <v>0</v>
      </c>
      <c r="AO48" s="413">
        <f t="shared" si="46"/>
        <v>29</v>
      </c>
      <c r="AP48" s="534"/>
    </row>
    <row r="49" spans="1:42" s="414" customFormat="1" ht="18.75" customHeight="1">
      <c r="A49" s="528"/>
      <c r="B49" s="564"/>
      <c r="C49" s="528"/>
      <c r="D49" s="442"/>
      <c r="E49" s="442"/>
      <c r="F49" s="427"/>
      <c r="G49" s="427"/>
      <c r="H49" s="427"/>
      <c r="I49" s="427"/>
      <c r="J49" s="429"/>
      <c r="K49" s="427"/>
      <c r="L49" s="427"/>
      <c r="M49" s="427"/>
      <c r="N49" s="427"/>
      <c r="O49" s="427"/>
      <c r="P49" s="427"/>
      <c r="Q49" s="429"/>
      <c r="R49" s="427"/>
      <c r="S49" s="427"/>
      <c r="T49" s="427"/>
      <c r="U49" s="427"/>
      <c r="V49" s="427"/>
      <c r="W49" s="427"/>
      <c r="X49" s="429"/>
      <c r="Y49" s="427"/>
      <c r="Z49" s="427"/>
      <c r="AA49" s="427"/>
      <c r="AB49" s="427"/>
      <c r="AC49" s="427"/>
      <c r="AD49" s="427">
        <v>6</v>
      </c>
      <c r="AE49" s="429"/>
      <c r="AF49" s="427"/>
      <c r="AG49" s="427"/>
      <c r="AH49" s="427"/>
      <c r="AI49" s="411"/>
      <c r="AJ49" s="411"/>
      <c r="AK49" s="411"/>
      <c r="AL49" s="412"/>
      <c r="AM49" s="411"/>
      <c r="AN49" s="411"/>
      <c r="AO49" s="413">
        <f t="shared" si="46"/>
        <v>0</v>
      </c>
      <c r="AP49" s="535"/>
    </row>
    <row r="50" spans="1:42" s="414" customFormat="1" ht="18.75" customHeight="1">
      <c r="A50" s="527">
        <v>22</v>
      </c>
      <c r="B50" s="532" t="s">
        <v>325</v>
      </c>
      <c r="C50" s="527" t="s">
        <v>280</v>
      </c>
      <c r="D50" s="421" t="s">
        <v>224</v>
      </c>
      <c r="E50" s="421"/>
      <c r="F50" s="421" t="s">
        <v>224</v>
      </c>
      <c r="G50" s="421" t="s">
        <v>224</v>
      </c>
      <c r="H50" s="421" t="s">
        <v>224</v>
      </c>
      <c r="I50" s="421" t="s">
        <v>224</v>
      </c>
      <c r="J50" s="428" t="s">
        <v>224</v>
      </c>
      <c r="K50" s="421" t="s">
        <v>224</v>
      </c>
      <c r="L50" s="421" t="s">
        <v>224</v>
      </c>
      <c r="M50" s="421" t="s">
        <v>224</v>
      </c>
      <c r="N50" s="421" t="s">
        <v>224</v>
      </c>
      <c r="O50" s="421" t="s">
        <v>224</v>
      </c>
      <c r="P50" s="421" t="s">
        <v>224</v>
      </c>
      <c r="Q50" s="428" t="s">
        <v>224</v>
      </c>
      <c r="R50" s="421" t="s">
        <v>224</v>
      </c>
      <c r="S50" s="421" t="s">
        <v>224</v>
      </c>
      <c r="T50" s="421" t="s">
        <v>224</v>
      </c>
      <c r="U50" s="421" t="s">
        <v>224</v>
      </c>
      <c r="V50" s="421" t="s">
        <v>224</v>
      </c>
      <c r="W50" s="421" t="s">
        <v>224</v>
      </c>
      <c r="X50" s="428" t="s">
        <v>224</v>
      </c>
      <c r="Y50" s="421" t="s">
        <v>224</v>
      </c>
      <c r="Z50" s="421" t="s">
        <v>224</v>
      </c>
      <c r="AA50" s="421" t="s">
        <v>224</v>
      </c>
      <c r="AB50" s="421" t="s">
        <v>224</v>
      </c>
      <c r="AC50" s="421" t="s">
        <v>224</v>
      </c>
      <c r="AD50" s="421" t="s">
        <v>224</v>
      </c>
      <c r="AE50" s="428" t="s">
        <v>224</v>
      </c>
      <c r="AF50" s="421" t="s">
        <v>224</v>
      </c>
      <c r="AG50" s="421" t="s">
        <v>224</v>
      </c>
      <c r="AH50" s="421" t="s">
        <v>224</v>
      </c>
      <c r="AI50" s="411">
        <f>COUNTIF(D50:AH50,"p")+COUNTIF(D50:AH50,"1/p")/2+COUNTIF(D50:AH50,"CĐ")</f>
        <v>0</v>
      </c>
      <c r="AJ50" s="411">
        <f>COUNTIF(D50:AH50,"Ô")+COUNTIF(D50:AH50,"R")+COUNTIF(D50:AH50,"1/2")/2+COUNTIF(D50:AH50,"Ts")</f>
        <v>0</v>
      </c>
      <c r="AK50" s="411">
        <f>COUNTIF(D50:AH50,"Nb")+COUNTIF(D50:AH50,"L")+COUNTIF(D50:AH50,"T")+COUNTIF(D50:AH50,"1/LT")/2</f>
        <v>0</v>
      </c>
      <c r="AL50" s="412">
        <f>SUM(D51:AH51)</f>
        <v>15</v>
      </c>
      <c r="AM50" s="411">
        <f>COUNTIF(D50:AH50,"F1")+COUNTIF(D50:AH50,"1/F1")/2</f>
        <v>0</v>
      </c>
      <c r="AN50" s="411">
        <f>COUNTIF(D50:AH50,"F")+COUNTIF(D50:AH50,"1/lt")/2</f>
        <v>0</v>
      </c>
      <c r="AO50" s="413">
        <f>COUNTIF(D50:AH50,"X")+COUNTIF(D50:AH50,"1/2")/2+COUNTIF(D50:AH50,"1/p")/2+COUNTIF(D50:AH50,"ĐH")</f>
        <v>30</v>
      </c>
      <c r="AP50" s="534"/>
    </row>
    <row r="51" spans="1:42" s="414" customFormat="1" ht="18.75" customHeight="1">
      <c r="A51" s="528"/>
      <c r="B51" s="533"/>
      <c r="C51" s="528"/>
      <c r="D51" s="442"/>
      <c r="E51" s="442"/>
      <c r="F51" s="427"/>
      <c r="G51" s="427"/>
      <c r="H51" s="427"/>
      <c r="I51" s="427"/>
      <c r="J51" s="429"/>
      <c r="K51" s="427"/>
      <c r="L51" s="427"/>
      <c r="M51" s="427"/>
      <c r="N51" s="427"/>
      <c r="O51" s="427"/>
      <c r="P51" s="427"/>
      <c r="Q51" s="429"/>
      <c r="R51" s="427"/>
      <c r="S51" s="427"/>
      <c r="T51" s="427"/>
      <c r="U51" s="427"/>
      <c r="V51" s="427"/>
      <c r="W51" s="427">
        <v>12</v>
      </c>
      <c r="X51" s="429"/>
      <c r="Y51" s="427"/>
      <c r="Z51" s="427"/>
      <c r="AA51" s="427"/>
      <c r="AB51" s="427"/>
      <c r="AC51" s="427"/>
      <c r="AD51" s="427"/>
      <c r="AE51" s="429">
        <v>3</v>
      </c>
      <c r="AF51" s="427"/>
      <c r="AG51" s="427"/>
      <c r="AH51" s="427"/>
      <c r="AI51" s="411"/>
      <c r="AJ51" s="411"/>
      <c r="AK51" s="411"/>
      <c r="AL51" s="412"/>
      <c r="AM51" s="411"/>
      <c r="AN51" s="411"/>
      <c r="AO51" s="413">
        <f t="shared" ref="AO51" si="53">COUNTIF(D51:AH51,"X")+COUNTIF(D51:AH51,"1/2")/2+COUNTIF(D51:AH51,"1/p")/2+COUNTIF(D51:AH51,"ĐH")</f>
        <v>0</v>
      </c>
      <c r="AP51" s="535"/>
    </row>
    <row r="52" spans="1:42" s="414" customFormat="1" ht="18.75" customHeight="1">
      <c r="A52" s="527">
        <v>24</v>
      </c>
      <c r="B52" s="551" t="s">
        <v>328</v>
      </c>
      <c r="C52" s="527" t="s">
        <v>280</v>
      </c>
      <c r="D52" s="421" t="s">
        <v>224</v>
      </c>
      <c r="E52" s="421" t="s">
        <v>224</v>
      </c>
      <c r="F52" s="421" t="s">
        <v>224</v>
      </c>
      <c r="G52" s="421" t="s">
        <v>224</v>
      </c>
      <c r="H52" s="421" t="s">
        <v>224</v>
      </c>
      <c r="I52" s="421" t="s">
        <v>224</v>
      </c>
      <c r="J52" s="428" t="s">
        <v>224</v>
      </c>
      <c r="K52" s="421" t="s">
        <v>224</v>
      </c>
      <c r="L52" s="421" t="s">
        <v>224</v>
      </c>
      <c r="M52" s="421" t="s">
        <v>224</v>
      </c>
      <c r="N52" s="421" t="s">
        <v>224</v>
      </c>
      <c r="O52" s="421" t="s">
        <v>224</v>
      </c>
      <c r="P52" s="421" t="s">
        <v>224</v>
      </c>
      <c r="Q52" s="428" t="s">
        <v>224</v>
      </c>
      <c r="R52" s="421" t="s">
        <v>224</v>
      </c>
      <c r="S52" s="421" t="s">
        <v>224</v>
      </c>
      <c r="T52" s="421" t="s">
        <v>224</v>
      </c>
      <c r="U52" s="421" t="s">
        <v>224</v>
      </c>
      <c r="V52" s="421" t="s">
        <v>224</v>
      </c>
      <c r="W52" s="421" t="s">
        <v>224</v>
      </c>
      <c r="X52" s="428" t="s">
        <v>224</v>
      </c>
      <c r="Y52" s="421" t="s">
        <v>224</v>
      </c>
      <c r="Z52" s="421" t="s">
        <v>224</v>
      </c>
      <c r="AA52" s="421" t="s">
        <v>224</v>
      </c>
      <c r="AB52" s="421" t="s">
        <v>224</v>
      </c>
      <c r="AC52" s="421" t="s">
        <v>224</v>
      </c>
      <c r="AD52" s="421" t="s">
        <v>224</v>
      </c>
      <c r="AE52" s="428" t="s">
        <v>224</v>
      </c>
      <c r="AF52" s="421" t="s">
        <v>224</v>
      </c>
      <c r="AG52" s="421" t="s">
        <v>224</v>
      </c>
      <c r="AH52" s="421" t="s">
        <v>224</v>
      </c>
      <c r="AI52" s="411">
        <f>COUNTIF(D52:AH52,"p")+COUNTIF(D52:AH52,"1/p")/2+COUNTIF(D52:AH52,"CĐ")</f>
        <v>0</v>
      </c>
      <c r="AJ52" s="411">
        <f>COUNTIF(D52:AH52,"Ô")+COUNTIF(D52:AH52,"R")+COUNTIF(D52:AH52,"1/2")/2+COUNTIF(D52:AH52,"Ts")</f>
        <v>0</v>
      </c>
      <c r="AK52" s="411">
        <f>COUNTIF(D52:AH52,"Nb")+COUNTIF(D52:AH52,"L")+COUNTIF(D52:AH52,"T")+COUNTIF(D52:AH52,"1/LT")/2</f>
        <v>0</v>
      </c>
      <c r="AL52" s="412">
        <f>SUM(D53:AH53)</f>
        <v>0</v>
      </c>
      <c r="AM52" s="411">
        <f>COUNTIF(D52:AH52,"F1")+COUNTIF(D52:AH52,"1/F1")/2</f>
        <v>0</v>
      </c>
      <c r="AN52" s="411">
        <f>COUNTIF(D52:AH52,"F")+COUNTIF(D52:AH52,"1/lt")/2</f>
        <v>0</v>
      </c>
      <c r="AO52" s="413">
        <f>COUNTIF(D52:AH52,"X")+COUNTIF(D52:AH52,"1/2")/2+COUNTIF(D52:AH52,"1/p")/2+COUNTIF(D52:AH52,"ĐH")</f>
        <v>31</v>
      </c>
      <c r="AP52" s="527"/>
    </row>
    <row r="53" spans="1:42" s="414" customFormat="1" ht="18.75" customHeight="1">
      <c r="A53" s="528"/>
      <c r="B53" s="551"/>
      <c r="C53" s="528"/>
      <c r="D53" s="421"/>
      <c r="E53" s="421"/>
      <c r="F53" s="421"/>
      <c r="G53" s="421"/>
      <c r="H53" s="421"/>
      <c r="I53" s="421"/>
      <c r="J53" s="428"/>
      <c r="K53" s="421"/>
      <c r="L53" s="421"/>
      <c r="M53" s="421"/>
      <c r="N53" s="421"/>
      <c r="O53" s="421"/>
      <c r="P53" s="421"/>
      <c r="Q53" s="428"/>
      <c r="R53" s="421"/>
      <c r="S53" s="421"/>
      <c r="T53" s="421"/>
      <c r="U53" s="421"/>
      <c r="V53" s="421"/>
      <c r="W53" s="421"/>
      <c r="X53" s="428"/>
      <c r="Y53" s="421"/>
      <c r="Z53" s="421"/>
      <c r="AA53" s="421"/>
      <c r="AB53" s="421"/>
      <c r="AC53" s="421"/>
      <c r="AD53" s="421"/>
      <c r="AE53" s="428"/>
      <c r="AF53" s="421"/>
      <c r="AG53" s="421"/>
      <c r="AH53" s="421"/>
      <c r="AI53" s="411"/>
      <c r="AJ53" s="411"/>
      <c r="AK53" s="411"/>
      <c r="AL53" s="412"/>
      <c r="AM53" s="411"/>
      <c r="AN53" s="411"/>
      <c r="AO53" s="413">
        <f>COUNTIF(D53:AH53,"X")+COUNTIF(D53:AH53,"1/2")/2+COUNTIF(D53:AH53,"1/p")/2+COUNTIF(D53:AH53,"ĐH")</f>
        <v>0</v>
      </c>
      <c r="AP53" s="528"/>
    </row>
    <row r="54" spans="1:42" s="414" customFormat="1" ht="18.75" customHeight="1">
      <c r="A54" s="527">
        <v>25</v>
      </c>
      <c r="B54" s="551" t="s">
        <v>331</v>
      </c>
      <c r="C54" s="527" t="s">
        <v>280</v>
      </c>
      <c r="D54" s="421" t="s">
        <v>224</v>
      </c>
      <c r="E54" s="421" t="s">
        <v>224</v>
      </c>
      <c r="F54" s="421" t="s">
        <v>224</v>
      </c>
      <c r="G54" s="421" t="s">
        <v>224</v>
      </c>
      <c r="H54" s="421" t="s">
        <v>224</v>
      </c>
      <c r="I54" s="421" t="s">
        <v>224</v>
      </c>
      <c r="J54" s="428" t="s">
        <v>224</v>
      </c>
      <c r="K54" s="421" t="s">
        <v>224</v>
      </c>
      <c r="L54" s="421" t="s">
        <v>224</v>
      </c>
      <c r="M54" s="421" t="s">
        <v>224</v>
      </c>
      <c r="N54" s="421" t="s">
        <v>224</v>
      </c>
      <c r="O54" s="421" t="s">
        <v>224</v>
      </c>
      <c r="P54" s="421" t="s">
        <v>224</v>
      </c>
      <c r="Q54" s="428" t="s">
        <v>224</v>
      </c>
      <c r="R54" s="421" t="s">
        <v>224</v>
      </c>
      <c r="S54" s="421" t="s">
        <v>224</v>
      </c>
      <c r="T54" s="421" t="s">
        <v>224</v>
      </c>
      <c r="U54" s="421" t="s">
        <v>224</v>
      </c>
      <c r="V54" s="421" t="s">
        <v>224</v>
      </c>
      <c r="W54" s="421" t="s">
        <v>224</v>
      </c>
      <c r="X54" s="428" t="s">
        <v>224</v>
      </c>
      <c r="Y54" s="421" t="s">
        <v>224</v>
      </c>
      <c r="Z54" s="421" t="s">
        <v>224</v>
      </c>
      <c r="AA54" s="421" t="s">
        <v>224</v>
      </c>
      <c r="AB54" s="421" t="s">
        <v>224</v>
      </c>
      <c r="AC54" s="421" t="s">
        <v>224</v>
      </c>
      <c r="AD54" s="421" t="s">
        <v>224</v>
      </c>
      <c r="AE54" s="428" t="s">
        <v>224</v>
      </c>
      <c r="AF54" s="421" t="s">
        <v>224</v>
      </c>
      <c r="AG54" s="421" t="s">
        <v>224</v>
      </c>
      <c r="AH54" s="421" t="s">
        <v>224</v>
      </c>
      <c r="AI54" s="411">
        <f>COUNTIF(D54:AH54,"p")+COUNTIF(D54:AH54,"1/p")/2+COUNTIF(D54:AH54,"CĐ")</f>
        <v>0</v>
      </c>
      <c r="AJ54" s="411">
        <f>COUNTIF(D54:AH54,"Ô")+COUNTIF(D54:AH54,"R")+COUNTIF(D54:AH54,"1/2")/2+COUNTIF(D54:AH54,"Ts")</f>
        <v>0</v>
      </c>
      <c r="AK54" s="411">
        <f>COUNTIF(D54:AH54,"Nb")+COUNTIF(D54:AH54,"L")+COUNTIF(D54:AH54,"T")+COUNTIF(D54:AH54,"1/LT")/2</f>
        <v>0</v>
      </c>
      <c r="AL54" s="412">
        <f>SUM(D55:AH55)</f>
        <v>12</v>
      </c>
      <c r="AM54" s="411">
        <f>COUNTIF(D54:AH54,"F1")+COUNTIF(D54:AH54,"1/F1")/2</f>
        <v>0</v>
      </c>
      <c r="AN54" s="411">
        <f>COUNTIF(D54:AH54,"F")+COUNTIF(D54:AH54,"1/lt")/2</f>
        <v>0</v>
      </c>
      <c r="AO54" s="413">
        <f>COUNTIF(D54:AH54,"X")+COUNTIF(D54:AH54,"1/2")/2+COUNTIF(D54:AH54,"1/p")/2+COUNTIF(D54:AH54,"ĐH")</f>
        <v>31</v>
      </c>
      <c r="AP54" s="527"/>
    </row>
    <row r="55" spans="1:42" s="414" customFormat="1" ht="18.75" customHeight="1">
      <c r="A55" s="528"/>
      <c r="B55" s="551"/>
      <c r="C55" s="528"/>
      <c r="D55" s="421"/>
      <c r="E55" s="421"/>
      <c r="F55" s="421"/>
      <c r="G55" s="421"/>
      <c r="H55" s="421"/>
      <c r="I55" s="421"/>
      <c r="J55" s="428"/>
      <c r="K55" s="421"/>
      <c r="L55" s="421"/>
      <c r="M55" s="421"/>
      <c r="N55" s="421"/>
      <c r="O55" s="421"/>
      <c r="P55" s="421"/>
      <c r="Q55" s="428"/>
      <c r="R55" s="421"/>
      <c r="S55" s="421"/>
      <c r="T55" s="421">
        <v>12</v>
      </c>
      <c r="U55" s="421"/>
      <c r="V55" s="421"/>
      <c r="W55" s="421"/>
      <c r="X55" s="428"/>
      <c r="Y55" s="421"/>
      <c r="Z55" s="421"/>
      <c r="AA55" s="421"/>
      <c r="AB55" s="421"/>
      <c r="AC55" s="421"/>
      <c r="AD55" s="421"/>
      <c r="AE55" s="428"/>
      <c r="AF55" s="421"/>
      <c r="AG55" s="421"/>
      <c r="AH55" s="421"/>
      <c r="AI55" s="411"/>
      <c r="AJ55" s="411"/>
      <c r="AK55" s="411"/>
      <c r="AL55" s="412"/>
      <c r="AM55" s="411"/>
      <c r="AN55" s="411"/>
      <c r="AO55" s="413">
        <f t="shared" ref="AO55" si="54">COUNTIF(D55:AH55,"X")+COUNTIF(D55:AH55,"1/2")/2+COUNTIF(D55:AH55,"1/p")/2+COUNTIF(D55:AH55,"ĐH")</f>
        <v>0</v>
      </c>
      <c r="AP55" s="528"/>
    </row>
    <row r="56" spans="1:42" s="414" customFormat="1" ht="45.75" customHeight="1">
      <c r="A56" s="543" t="s">
        <v>202</v>
      </c>
      <c r="B56" s="544"/>
      <c r="C56" s="545"/>
      <c r="D56" s="56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  <c r="AA56" s="547"/>
      <c r="AB56" s="547"/>
      <c r="AC56" s="547"/>
      <c r="AD56" s="547"/>
      <c r="AE56" s="547"/>
      <c r="AF56" s="547"/>
      <c r="AG56" s="547"/>
      <c r="AH56" s="547"/>
      <c r="AI56" s="547"/>
      <c r="AJ56" s="547"/>
      <c r="AK56" s="547"/>
      <c r="AL56" s="547"/>
      <c r="AM56" s="547"/>
      <c r="AN56" s="547"/>
      <c r="AO56" s="548"/>
      <c r="AP56" s="421"/>
    </row>
    <row r="57" spans="1:42" s="414" customFormat="1" ht="20.25" customHeight="1">
      <c r="A57" s="83"/>
      <c r="B57" s="28" t="s">
        <v>306</v>
      </c>
      <c r="C57" s="378"/>
      <c r="D57" s="378"/>
      <c r="E57" s="378"/>
      <c r="F57" s="378"/>
      <c r="G57" s="378"/>
      <c r="H57" s="378"/>
      <c r="I57" s="378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O57" s="378"/>
      <c r="AP57" s="378"/>
    </row>
    <row r="58" spans="1:42" s="394" customFormat="1" ht="18.75" customHeight="1">
      <c r="A58" s="393"/>
      <c r="B58" s="441" t="s">
        <v>263</v>
      </c>
      <c r="C58" s="381"/>
      <c r="D58" s="381"/>
      <c r="E58" s="417"/>
      <c r="F58" s="417"/>
      <c r="G58" s="418"/>
      <c r="H58" s="417"/>
      <c r="I58" s="417"/>
      <c r="J58" s="419"/>
      <c r="K58" s="419"/>
      <c r="L58" s="419"/>
      <c r="M58" s="419"/>
      <c r="N58" s="419"/>
      <c r="S58" s="549" t="s">
        <v>262</v>
      </c>
      <c r="T58" s="549"/>
      <c r="U58" s="549"/>
      <c r="V58" s="549"/>
      <c r="W58" s="549"/>
      <c r="X58" s="549"/>
      <c r="Y58" s="419"/>
      <c r="Z58" s="419"/>
      <c r="AA58" s="419"/>
      <c r="AB58" s="419"/>
      <c r="AC58" s="419"/>
      <c r="AD58" s="419"/>
      <c r="AE58" s="419"/>
      <c r="AF58" s="419"/>
      <c r="AG58" s="419"/>
      <c r="AH58" s="419"/>
      <c r="AI58" s="381"/>
      <c r="AJ58" s="381"/>
      <c r="AK58" s="381"/>
      <c r="AL58" s="381"/>
      <c r="AM58" s="381"/>
      <c r="AN58" s="381"/>
      <c r="AO58" s="549" t="s">
        <v>317</v>
      </c>
      <c r="AP58" s="549"/>
    </row>
    <row r="59" spans="1:42" s="380" customFormat="1" ht="20.25" customHeight="1">
      <c r="A59" s="83"/>
      <c r="B59" s="83"/>
      <c r="C59" s="83"/>
      <c r="D59" s="378"/>
      <c r="E59" s="385"/>
      <c r="F59" s="385"/>
      <c r="G59" s="401"/>
      <c r="H59" s="385"/>
      <c r="I59" s="385"/>
      <c r="J59" s="385"/>
      <c r="K59" s="385"/>
      <c r="L59" s="385"/>
      <c r="M59" s="385"/>
      <c r="N59" s="385"/>
      <c r="T59" s="378"/>
      <c r="U59" s="378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79"/>
      <c r="AJ59" s="379"/>
      <c r="AK59" s="379"/>
      <c r="AL59" s="397"/>
      <c r="AM59" s="379"/>
      <c r="AN59" s="379"/>
      <c r="AO59" s="378"/>
      <c r="AP59" s="378"/>
    </row>
    <row r="60" spans="1:42" s="380" customFormat="1" ht="18.75" customHeight="1">
      <c r="A60" s="83"/>
      <c r="B60" s="83"/>
      <c r="C60" s="83"/>
      <c r="D60" s="378"/>
      <c r="E60" s="385"/>
      <c r="F60" s="385"/>
      <c r="G60" s="385"/>
      <c r="H60" s="385"/>
      <c r="I60" s="385"/>
      <c r="J60" s="385"/>
      <c r="K60" s="385"/>
      <c r="L60" s="385"/>
      <c r="M60" s="385"/>
      <c r="N60" s="385"/>
      <c r="T60" s="378"/>
      <c r="U60" s="378"/>
      <c r="V60" s="385"/>
      <c r="W60" s="385"/>
      <c r="X60" s="385"/>
      <c r="Y60" s="385"/>
      <c r="Z60" s="385"/>
      <c r="AA60" s="385"/>
      <c r="AB60" s="385"/>
      <c r="AC60" s="385"/>
      <c r="AD60" s="385"/>
      <c r="AE60" s="385"/>
      <c r="AF60" s="385"/>
      <c r="AG60" s="385"/>
      <c r="AH60" s="385"/>
      <c r="AI60" s="379"/>
      <c r="AJ60" s="379"/>
      <c r="AK60" s="379"/>
      <c r="AL60" s="397"/>
      <c r="AM60" s="379"/>
      <c r="AN60" s="379"/>
      <c r="AO60" s="378"/>
      <c r="AP60" s="378"/>
    </row>
    <row r="61" spans="1:42" s="380" customFormat="1" ht="20.25" customHeight="1">
      <c r="A61" s="83"/>
      <c r="B61" s="83"/>
      <c r="C61" s="83"/>
      <c r="D61" s="83"/>
      <c r="E61" s="400"/>
      <c r="F61" s="400"/>
      <c r="G61" s="400"/>
      <c r="H61" s="400"/>
      <c r="I61" s="400"/>
      <c r="J61" s="400"/>
      <c r="K61" s="400"/>
      <c r="L61" s="400"/>
      <c r="M61" s="400"/>
      <c r="N61" s="400"/>
      <c r="T61" s="83"/>
      <c r="U61" s="83"/>
      <c r="V61" s="400"/>
      <c r="W61" s="400"/>
      <c r="X61" s="400"/>
      <c r="Y61" s="400"/>
      <c r="Z61" s="400"/>
      <c r="AA61" s="400"/>
      <c r="AB61" s="400"/>
      <c r="AC61" s="400"/>
      <c r="AD61" s="400"/>
      <c r="AE61" s="400"/>
      <c r="AF61" s="400"/>
      <c r="AG61" s="400"/>
      <c r="AH61" s="400"/>
      <c r="AI61" s="83"/>
      <c r="AJ61" s="83"/>
      <c r="AK61" s="83"/>
      <c r="AL61" s="398"/>
      <c r="AM61" s="83"/>
      <c r="AN61" s="83"/>
      <c r="AO61" s="83"/>
      <c r="AP61" s="83"/>
    </row>
    <row r="62" spans="1:42" s="392" customFormat="1" ht="27" customHeight="1">
      <c r="A62" s="440"/>
      <c r="B62" s="439" t="s">
        <v>318</v>
      </c>
      <c r="C62" s="28"/>
      <c r="D62" s="28"/>
      <c r="E62" s="391"/>
      <c r="F62" s="391"/>
      <c r="G62" s="391"/>
      <c r="H62" s="391"/>
      <c r="I62" s="391"/>
      <c r="J62" s="391"/>
      <c r="K62" s="391"/>
      <c r="L62" s="391"/>
      <c r="M62" s="391"/>
      <c r="N62" s="391"/>
      <c r="S62" s="465" t="s">
        <v>319</v>
      </c>
      <c r="T62" s="465"/>
      <c r="U62" s="465"/>
      <c r="V62" s="465"/>
      <c r="W62" s="465"/>
      <c r="X62" s="465"/>
      <c r="Y62" s="391"/>
      <c r="Z62" s="391"/>
      <c r="AA62" s="391"/>
      <c r="AB62" s="391"/>
      <c r="AC62" s="391"/>
      <c r="AD62" s="391"/>
      <c r="AE62" s="391"/>
      <c r="AF62" s="391"/>
      <c r="AG62" s="391"/>
      <c r="AH62" s="391"/>
      <c r="AI62" s="395"/>
      <c r="AJ62" s="395"/>
      <c r="AK62" s="395"/>
      <c r="AL62" s="399"/>
      <c r="AM62" s="395"/>
      <c r="AN62" s="395"/>
      <c r="AO62" s="465" t="s">
        <v>320</v>
      </c>
      <c r="AP62" s="465"/>
    </row>
    <row r="63" spans="1:42" s="380" customFormat="1" ht="20.25" customHeight="1">
      <c r="A63" s="382"/>
      <c r="B63" s="415"/>
      <c r="C63" s="415" t="s">
        <v>259</v>
      </c>
      <c r="D63" s="382"/>
      <c r="E63" s="382"/>
      <c r="F63" s="385"/>
      <c r="G63" s="385"/>
      <c r="H63" s="385"/>
      <c r="I63" s="385"/>
      <c r="J63" s="385"/>
      <c r="K63" s="385"/>
      <c r="L63" s="385"/>
      <c r="M63" s="385"/>
      <c r="N63" s="386"/>
      <c r="O63" s="387"/>
      <c r="P63" s="385"/>
      <c r="Q63" s="385"/>
      <c r="R63" s="385"/>
      <c r="S63" s="385"/>
      <c r="T63" s="385"/>
      <c r="U63" s="385"/>
      <c r="V63" s="385"/>
      <c r="X63" s="416"/>
      <c r="Y63" s="416"/>
      <c r="Z63" s="385"/>
      <c r="AA63" s="416" t="s">
        <v>227</v>
      </c>
      <c r="AO63" s="378"/>
      <c r="AP63" s="378"/>
    </row>
    <row r="64" spans="1:42" s="380" customFormat="1" ht="18.75" customHeight="1">
      <c r="A64" s="83"/>
      <c r="B64" s="83"/>
      <c r="C64" s="83"/>
      <c r="D64" s="385" t="s">
        <v>224</v>
      </c>
      <c r="E64" s="385"/>
      <c r="F64" s="385" t="s">
        <v>225</v>
      </c>
      <c r="G64" s="385"/>
      <c r="H64" s="385"/>
      <c r="I64" s="385"/>
      <c r="J64" s="385"/>
      <c r="K64" s="385"/>
      <c r="L64" s="385"/>
      <c r="M64" s="385"/>
      <c r="N64" s="385"/>
      <c r="O64" s="386" t="s">
        <v>223</v>
      </c>
      <c r="P64" s="387" t="s">
        <v>241</v>
      </c>
      <c r="Q64" s="385" t="s">
        <v>226</v>
      </c>
      <c r="R64" s="385"/>
      <c r="S64" s="385"/>
      <c r="T64" s="385"/>
      <c r="U64" s="385"/>
      <c r="V64" s="385"/>
      <c r="W64" s="385"/>
      <c r="X64" s="385"/>
      <c r="Y64" s="385"/>
      <c r="Z64" s="385"/>
      <c r="AC64" s="386" t="s">
        <v>223</v>
      </c>
      <c r="AD64" s="388"/>
      <c r="AE64" s="385" t="s">
        <v>228</v>
      </c>
      <c r="AF64" s="385"/>
      <c r="AG64" s="385"/>
      <c r="AH64" s="385"/>
      <c r="AI64" s="385"/>
      <c r="AJ64" s="385"/>
      <c r="AK64" s="379"/>
      <c r="AL64" s="379"/>
      <c r="AM64" s="379"/>
      <c r="AN64" s="397"/>
      <c r="AO64" s="379"/>
      <c r="AP64" s="379"/>
    </row>
    <row r="65" spans="1:42" s="380" customFormat="1" ht="20.25" customHeight="1">
      <c r="A65" s="83"/>
      <c r="B65" s="83"/>
      <c r="C65" s="83"/>
      <c r="D65" s="385" t="s">
        <v>213</v>
      </c>
      <c r="E65" s="385"/>
      <c r="F65" s="385" t="s">
        <v>229</v>
      </c>
      <c r="G65" s="385"/>
      <c r="H65" s="385"/>
      <c r="I65" s="385"/>
      <c r="J65" s="385"/>
      <c r="K65" s="385"/>
      <c r="L65" s="385"/>
      <c r="M65" s="385"/>
      <c r="N65" s="385"/>
      <c r="O65" s="386" t="s">
        <v>223</v>
      </c>
      <c r="P65" s="385" t="s">
        <v>220</v>
      </c>
      <c r="Q65" s="385" t="s">
        <v>230</v>
      </c>
      <c r="R65" s="385"/>
      <c r="S65" s="385"/>
      <c r="T65" s="385"/>
      <c r="U65" s="385"/>
      <c r="V65" s="385"/>
      <c r="W65" s="385"/>
      <c r="X65" s="385"/>
      <c r="Y65" s="385"/>
      <c r="Z65" s="385"/>
      <c r="AC65" s="386" t="s">
        <v>223</v>
      </c>
      <c r="AD65" s="388"/>
      <c r="AE65" s="385" t="s">
        <v>231</v>
      </c>
      <c r="AF65" s="385"/>
      <c r="AG65" s="385"/>
      <c r="AH65" s="385"/>
      <c r="AI65" s="386"/>
      <c r="AJ65" s="385"/>
      <c r="AK65" s="379"/>
      <c r="AL65" s="379"/>
      <c r="AM65" s="379"/>
      <c r="AN65" s="397"/>
      <c r="AO65" s="379"/>
      <c r="AP65" s="379"/>
    </row>
    <row r="66" spans="1:42" s="380" customFormat="1" ht="18.75" customHeight="1">
      <c r="A66" s="83"/>
      <c r="B66" s="83"/>
      <c r="C66" s="83"/>
      <c r="D66" s="385" t="s">
        <v>219</v>
      </c>
      <c r="E66" s="385"/>
      <c r="F66" s="385" t="s">
        <v>232</v>
      </c>
      <c r="G66" s="385"/>
      <c r="H66" s="385"/>
      <c r="I66" s="385"/>
      <c r="J66" s="385"/>
      <c r="K66" s="385"/>
      <c r="L66" s="385"/>
      <c r="M66" s="385"/>
      <c r="N66" s="385"/>
      <c r="O66" s="386" t="s">
        <v>223</v>
      </c>
      <c r="P66" s="385" t="s">
        <v>218</v>
      </c>
      <c r="Q66" s="385" t="s">
        <v>233</v>
      </c>
      <c r="R66" s="385"/>
      <c r="S66" s="385"/>
      <c r="T66" s="384"/>
      <c r="U66" s="384"/>
      <c r="V66" s="385"/>
      <c r="W66" s="385"/>
      <c r="X66" s="385"/>
      <c r="Y66" s="385"/>
      <c r="Z66" s="385"/>
      <c r="AC66" s="386"/>
      <c r="AD66" s="396" t="s">
        <v>256</v>
      </c>
      <c r="AE66" s="385" t="s">
        <v>257</v>
      </c>
      <c r="AF66" s="385"/>
      <c r="AG66" s="385"/>
      <c r="AH66" s="385"/>
      <c r="AI66" s="386"/>
      <c r="AJ66" s="385"/>
      <c r="AK66" s="379"/>
      <c r="AL66" s="379"/>
      <c r="AM66" s="379"/>
      <c r="AN66" s="397"/>
      <c r="AO66" s="379"/>
      <c r="AP66" s="379"/>
    </row>
    <row r="67" spans="1:42" s="380" customFormat="1" ht="20.25" customHeight="1">
      <c r="A67" s="83"/>
      <c r="B67" s="83"/>
      <c r="C67" s="83"/>
      <c r="D67" s="385" t="s">
        <v>234</v>
      </c>
      <c r="E67" s="385"/>
      <c r="F67" s="385" t="s">
        <v>235</v>
      </c>
      <c r="G67" s="385"/>
      <c r="H67" s="385"/>
      <c r="I67" s="385"/>
      <c r="J67" s="385"/>
      <c r="K67" s="385"/>
      <c r="L67" s="385"/>
      <c r="M67" s="385"/>
      <c r="N67" s="385"/>
      <c r="O67" s="389" t="s">
        <v>223</v>
      </c>
      <c r="P67" s="384" t="s">
        <v>221</v>
      </c>
      <c r="Q67" s="384" t="s">
        <v>244</v>
      </c>
      <c r="R67" s="384"/>
      <c r="S67" s="384"/>
      <c r="T67" s="384"/>
      <c r="U67" s="384"/>
      <c r="V67" s="385"/>
      <c r="W67" s="385"/>
      <c r="X67" s="385"/>
      <c r="Y67" s="385"/>
      <c r="Z67" s="385"/>
      <c r="AC67" s="386"/>
      <c r="AD67" s="385"/>
      <c r="AE67" s="385" t="s">
        <v>264</v>
      </c>
      <c r="AF67" s="385"/>
      <c r="AG67" s="385"/>
      <c r="AH67" s="385"/>
      <c r="AI67" s="385"/>
      <c r="AJ67" s="385"/>
      <c r="AK67" s="379"/>
      <c r="AL67" s="379"/>
      <c r="AM67" s="379"/>
      <c r="AN67" s="397"/>
      <c r="AO67" s="379"/>
      <c r="AP67" s="379"/>
    </row>
    <row r="68" spans="1:42" s="380" customFormat="1" ht="18.75" customHeight="1">
      <c r="A68" s="83"/>
      <c r="B68" s="83"/>
      <c r="C68" s="83"/>
      <c r="D68" s="390" t="s">
        <v>245</v>
      </c>
      <c r="E68" s="390"/>
      <c r="F68" s="385" t="s">
        <v>246</v>
      </c>
      <c r="G68" s="385"/>
      <c r="H68" s="385"/>
      <c r="I68" s="385"/>
      <c r="J68" s="385"/>
      <c r="K68" s="385"/>
      <c r="L68" s="385"/>
      <c r="M68" s="385"/>
      <c r="N68" s="385"/>
      <c r="O68" s="389" t="s">
        <v>223</v>
      </c>
      <c r="P68" s="384" t="s">
        <v>247</v>
      </c>
      <c r="Q68" s="384" t="s">
        <v>248</v>
      </c>
      <c r="R68" s="384"/>
      <c r="S68" s="384"/>
      <c r="T68" s="384"/>
      <c r="U68" s="384"/>
      <c r="V68" s="385"/>
      <c r="W68" s="385"/>
      <c r="X68" s="385"/>
      <c r="Y68" s="385"/>
      <c r="Z68" s="385"/>
      <c r="AA68" s="385"/>
      <c r="AB68" s="385"/>
      <c r="AC68" s="386"/>
      <c r="AD68" s="383" t="s">
        <v>216</v>
      </c>
      <c r="AE68" s="385" t="s">
        <v>258</v>
      </c>
      <c r="AF68" s="385"/>
      <c r="AG68" s="385"/>
      <c r="AH68" s="385"/>
      <c r="AI68" s="385"/>
      <c r="AJ68" s="385"/>
      <c r="AK68" s="379"/>
      <c r="AL68" s="379"/>
      <c r="AM68" s="379"/>
      <c r="AN68" s="397"/>
      <c r="AO68" s="379"/>
      <c r="AP68" s="379"/>
    </row>
    <row r="69" spans="1:42" s="380" customFormat="1" ht="20.25" customHeight="1">
      <c r="A69" s="83"/>
      <c r="B69" s="83"/>
      <c r="C69" s="83"/>
      <c r="D69" s="390" t="s">
        <v>249</v>
      </c>
      <c r="E69" s="390"/>
      <c r="F69" s="385" t="s">
        <v>250</v>
      </c>
      <c r="G69" s="385"/>
      <c r="H69" s="385"/>
      <c r="I69" s="385"/>
      <c r="J69" s="385"/>
      <c r="K69" s="385"/>
      <c r="L69" s="385"/>
      <c r="M69" s="385"/>
      <c r="N69" s="385"/>
      <c r="O69" s="386" t="s">
        <v>223</v>
      </c>
      <c r="P69" s="385" t="s">
        <v>222</v>
      </c>
      <c r="Q69" s="385" t="s">
        <v>251</v>
      </c>
      <c r="R69" s="385"/>
      <c r="S69" s="385"/>
      <c r="T69" s="385"/>
      <c r="U69" s="384"/>
      <c r="V69" s="385"/>
      <c r="W69" s="385"/>
      <c r="X69" s="385"/>
      <c r="Y69" s="385"/>
      <c r="Z69" s="385"/>
      <c r="AA69" s="385"/>
      <c r="AB69" s="385"/>
      <c r="AC69" s="385"/>
      <c r="AD69" s="385"/>
      <c r="AE69" s="385"/>
      <c r="AF69" s="385"/>
      <c r="AG69" s="385"/>
      <c r="AH69" s="385"/>
      <c r="AI69" s="379"/>
      <c r="AJ69" s="379"/>
      <c r="AK69" s="379"/>
      <c r="AL69" s="397"/>
      <c r="AM69" s="379"/>
      <c r="AN69" s="379"/>
      <c r="AO69" s="378"/>
      <c r="AP69" s="378"/>
    </row>
    <row r="70" spans="1:42" s="380" customFormat="1" ht="18.75" customHeight="1">
      <c r="A70" s="83"/>
      <c r="B70" s="83"/>
      <c r="C70" s="83"/>
      <c r="D70" s="385" t="s">
        <v>236</v>
      </c>
      <c r="E70" s="385"/>
      <c r="F70" s="385" t="s">
        <v>237</v>
      </c>
      <c r="G70" s="385"/>
      <c r="H70" s="385"/>
      <c r="I70" s="385"/>
      <c r="J70" s="385"/>
      <c r="K70" s="385"/>
      <c r="L70" s="385"/>
      <c r="M70" s="385"/>
      <c r="N70" s="385"/>
      <c r="O70" s="386" t="s">
        <v>223</v>
      </c>
      <c r="P70" s="385" t="s">
        <v>217</v>
      </c>
      <c r="Q70" s="385" t="s">
        <v>240</v>
      </c>
      <c r="R70" s="385"/>
      <c r="S70" s="385"/>
      <c r="T70" s="385"/>
      <c r="U70" s="385"/>
      <c r="V70" s="385"/>
      <c r="W70" s="385"/>
      <c r="X70" s="385"/>
      <c r="Y70" s="385"/>
      <c r="Z70" s="385"/>
      <c r="AA70" s="385"/>
      <c r="AB70" s="385"/>
      <c r="AC70" s="385"/>
      <c r="AD70" s="385"/>
      <c r="AE70" s="385"/>
      <c r="AF70" s="385"/>
      <c r="AG70" s="385"/>
      <c r="AH70" s="385"/>
      <c r="AI70" s="379"/>
      <c r="AJ70" s="379"/>
      <c r="AK70" s="379"/>
      <c r="AL70" s="397"/>
      <c r="AM70" s="379"/>
      <c r="AN70" s="379"/>
      <c r="AO70" s="378"/>
      <c r="AP70" s="378"/>
    </row>
    <row r="71" spans="1:42" s="380" customFormat="1" ht="20.25" customHeight="1">
      <c r="A71" s="83"/>
      <c r="B71" s="83"/>
      <c r="C71" s="83"/>
      <c r="D71" s="384" t="s">
        <v>238</v>
      </c>
      <c r="E71" s="384"/>
      <c r="F71" s="384" t="s">
        <v>239</v>
      </c>
      <c r="G71" s="384"/>
      <c r="H71" s="384"/>
      <c r="I71" s="385"/>
      <c r="J71" s="385"/>
      <c r="K71" s="385"/>
      <c r="L71" s="385"/>
      <c r="M71" s="385"/>
      <c r="N71" s="385"/>
      <c r="O71" s="386" t="s">
        <v>223</v>
      </c>
      <c r="P71" s="385" t="s">
        <v>242</v>
      </c>
      <c r="Q71" s="385" t="s">
        <v>252</v>
      </c>
      <c r="R71" s="385"/>
      <c r="S71" s="385"/>
      <c r="T71" s="385"/>
      <c r="U71" s="385"/>
      <c r="V71" s="385"/>
      <c r="W71" s="385"/>
      <c r="X71" s="385"/>
      <c r="Y71" s="385"/>
      <c r="Z71" s="385"/>
      <c r="AA71" s="385"/>
      <c r="AB71" s="385"/>
      <c r="AC71" s="385"/>
      <c r="AD71" s="385"/>
      <c r="AE71" s="385"/>
      <c r="AF71" s="385"/>
      <c r="AG71" s="385"/>
      <c r="AH71" s="385"/>
      <c r="AI71" s="379"/>
      <c r="AJ71" s="379"/>
      <c r="AK71" s="379"/>
      <c r="AL71" s="397"/>
      <c r="AM71" s="379"/>
      <c r="AN71" s="379"/>
      <c r="AO71" s="378"/>
      <c r="AP71" s="378"/>
    </row>
    <row r="72" spans="1:42" s="380" customFormat="1" ht="18.75" customHeight="1">
      <c r="A72" s="83"/>
      <c r="B72" s="83"/>
      <c r="C72" s="83"/>
      <c r="D72" s="378"/>
      <c r="E72" s="378"/>
      <c r="F72" s="385"/>
      <c r="G72" s="385"/>
      <c r="H72" s="385"/>
      <c r="I72" s="385"/>
      <c r="J72" s="385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  <c r="AA72" s="385"/>
      <c r="AB72" s="385"/>
      <c r="AC72" s="385"/>
      <c r="AD72" s="385"/>
      <c r="AE72" s="385"/>
      <c r="AF72" s="385"/>
      <c r="AG72" s="385"/>
      <c r="AH72" s="385"/>
      <c r="AI72" s="379"/>
      <c r="AJ72" s="379"/>
      <c r="AK72" s="379"/>
      <c r="AL72" s="397"/>
      <c r="AM72" s="379"/>
      <c r="AN72" s="379"/>
      <c r="AO72" s="378"/>
      <c r="AP72" s="378"/>
    </row>
    <row r="73" spans="1:42" s="380" customFormat="1" ht="20.25" customHeight="1">
      <c r="A73" s="83"/>
      <c r="B73" s="83"/>
      <c r="C73" s="83"/>
      <c r="D73" s="378"/>
      <c r="E73" s="378"/>
      <c r="F73" s="385"/>
      <c r="G73" s="385"/>
      <c r="H73" s="385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  <c r="AC73" s="385"/>
      <c r="AD73" s="385"/>
      <c r="AE73" s="385"/>
      <c r="AF73" s="385"/>
      <c r="AG73" s="385"/>
      <c r="AH73" s="385"/>
      <c r="AI73" s="379"/>
      <c r="AJ73" s="379"/>
      <c r="AK73" s="379"/>
      <c r="AL73" s="397"/>
      <c r="AM73" s="379"/>
      <c r="AN73" s="379"/>
      <c r="AO73" s="378"/>
      <c r="AP73" s="378"/>
    </row>
    <row r="74" spans="1:42" s="380" customFormat="1" ht="18.75" customHeight="1">
      <c r="A74" s="83"/>
      <c r="B74" s="83"/>
      <c r="C74" s="83"/>
      <c r="D74" s="378"/>
      <c r="E74" s="378"/>
      <c r="F74" s="385"/>
      <c r="G74" s="385"/>
      <c r="H74" s="385"/>
      <c r="I74" s="385"/>
      <c r="J74" s="385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  <c r="AC74" s="385"/>
      <c r="AD74" s="385"/>
      <c r="AE74" s="385"/>
      <c r="AF74" s="385"/>
      <c r="AG74" s="385"/>
      <c r="AH74" s="385"/>
      <c r="AI74" s="379"/>
      <c r="AJ74" s="379"/>
      <c r="AK74" s="379"/>
      <c r="AL74" s="397"/>
      <c r="AM74" s="379"/>
      <c r="AN74" s="379"/>
      <c r="AO74" s="378"/>
      <c r="AP74" s="378"/>
    </row>
    <row r="75" spans="1:42" s="380" customFormat="1" ht="17.399999999999999" customHeight="1">
      <c r="A75" s="83"/>
      <c r="B75" s="83"/>
      <c r="C75" s="83"/>
      <c r="D75" s="385"/>
      <c r="E75" s="385"/>
      <c r="F75" s="385"/>
      <c r="G75" s="385"/>
      <c r="H75" s="385"/>
      <c r="I75" s="385"/>
      <c r="J75" s="385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  <c r="AC75" s="385"/>
      <c r="AD75" s="385"/>
      <c r="AE75" s="385"/>
      <c r="AF75" s="385"/>
      <c r="AG75" s="385"/>
      <c r="AH75" s="385"/>
      <c r="AI75" s="379"/>
      <c r="AJ75" s="379"/>
      <c r="AK75" s="379"/>
      <c r="AL75" s="397"/>
      <c r="AM75" s="379"/>
      <c r="AN75" s="379"/>
      <c r="AO75" s="378"/>
      <c r="AP75" s="378"/>
    </row>
    <row r="76" spans="1:42" ht="17.399999999999999" customHeight="1"/>
    <row r="77" spans="1:42" s="381" customFormat="1" ht="16.8">
      <c r="A77" s="83"/>
      <c r="B77" s="83"/>
      <c r="C77" s="83"/>
      <c r="D77" s="378"/>
      <c r="E77" s="378"/>
      <c r="F77" s="385"/>
      <c r="G77" s="385"/>
      <c r="H77" s="385"/>
      <c r="I77" s="385"/>
      <c r="J77" s="385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  <c r="AC77" s="385"/>
      <c r="AD77" s="385"/>
      <c r="AE77" s="385"/>
      <c r="AF77" s="385"/>
      <c r="AG77" s="385"/>
      <c r="AH77" s="385"/>
      <c r="AI77" s="379"/>
      <c r="AJ77" s="379"/>
      <c r="AK77" s="379"/>
      <c r="AL77" s="397"/>
      <c r="AM77" s="379"/>
      <c r="AN77" s="379"/>
      <c r="AO77" s="378"/>
      <c r="AP77" s="378"/>
    </row>
    <row r="80" spans="1:42" s="83" customFormat="1">
      <c r="D80" s="378"/>
      <c r="E80" s="378"/>
      <c r="F80" s="385"/>
      <c r="G80" s="385"/>
      <c r="H80" s="385"/>
      <c r="I80" s="385"/>
      <c r="J80" s="385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  <c r="AA80" s="385"/>
      <c r="AB80" s="385"/>
      <c r="AC80" s="385"/>
      <c r="AD80" s="385"/>
      <c r="AE80" s="385"/>
      <c r="AF80" s="385"/>
      <c r="AG80" s="385"/>
      <c r="AH80" s="385"/>
      <c r="AI80" s="379"/>
      <c r="AJ80" s="379"/>
      <c r="AK80" s="379"/>
      <c r="AL80" s="397"/>
      <c r="AM80" s="379"/>
      <c r="AN80" s="379"/>
      <c r="AO80" s="378"/>
      <c r="AP80" s="378"/>
    </row>
  </sheetData>
  <mergeCells count="116">
    <mergeCell ref="S58:X58"/>
    <mergeCell ref="AO58:AP58"/>
    <mergeCell ref="S62:X62"/>
    <mergeCell ref="AO62:AP62"/>
    <mergeCell ref="A56:C56"/>
    <mergeCell ref="D56:AO56"/>
    <mergeCell ref="A52:A53"/>
    <mergeCell ref="B52:B53"/>
    <mergeCell ref="C52:C53"/>
    <mergeCell ref="AP52:AP53"/>
    <mergeCell ref="A54:A55"/>
    <mergeCell ref="B54:B55"/>
    <mergeCell ref="C54:C55"/>
    <mergeCell ref="AP54:AP55"/>
    <mergeCell ref="A48:A49"/>
    <mergeCell ref="B48:B49"/>
    <mergeCell ref="C48:C49"/>
    <mergeCell ref="AP48:AP49"/>
    <mergeCell ref="A50:A51"/>
    <mergeCell ref="B50:B51"/>
    <mergeCell ref="C50:C51"/>
    <mergeCell ref="AP50:AP51"/>
    <mergeCell ref="A44:A45"/>
    <mergeCell ref="B44:B45"/>
    <mergeCell ref="C44:C45"/>
    <mergeCell ref="AP44:AP45"/>
    <mergeCell ref="A46:A47"/>
    <mergeCell ref="B46:B47"/>
    <mergeCell ref="C46:C47"/>
    <mergeCell ref="AP46:AP47"/>
    <mergeCell ref="A40:A41"/>
    <mergeCell ref="B40:B41"/>
    <mergeCell ref="C40:C41"/>
    <mergeCell ref="AP40:AP41"/>
    <mergeCell ref="A42:A43"/>
    <mergeCell ref="B42:B43"/>
    <mergeCell ref="C42:C43"/>
    <mergeCell ref="AP42:AP43"/>
    <mergeCell ref="A36:A37"/>
    <mergeCell ref="B36:B37"/>
    <mergeCell ref="C36:C37"/>
    <mergeCell ref="AP36:AP37"/>
    <mergeCell ref="A38:A39"/>
    <mergeCell ref="B38:B39"/>
    <mergeCell ref="C38:C39"/>
    <mergeCell ref="AP38:AP39"/>
    <mergeCell ref="A32:A33"/>
    <mergeCell ref="B32:B33"/>
    <mergeCell ref="C32:C33"/>
    <mergeCell ref="AP32:AP33"/>
    <mergeCell ref="A34:A35"/>
    <mergeCell ref="B34:B35"/>
    <mergeCell ref="C34:C35"/>
    <mergeCell ref="AP34:AP35"/>
    <mergeCell ref="A28:A29"/>
    <mergeCell ref="B28:B29"/>
    <mergeCell ref="C28:C29"/>
    <mergeCell ref="AP28:AP29"/>
    <mergeCell ref="A30:A31"/>
    <mergeCell ref="B30:B31"/>
    <mergeCell ref="C30:C31"/>
    <mergeCell ref="AP30:AP31"/>
    <mergeCell ref="A24:A25"/>
    <mergeCell ref="B24:B25"/>
    <mergeCell ref="C24:C25"/>
    <mergeCell ref="AP24:AP25"/>
    <mergeCell ref="A26:A27"/>
    <mergeCell ref="B26:B27"/>
    <mergeCell ref="C26:C27"/>
    <mergeCell ref="AP26:AP27"/>
    <mergeCell ref="A22:A23"/>
    <mergeCell ref="B22:B23"/>
    <mergeCell ref="C22:C23"/>
    <mergeCell ref="AP22:AP23"/>
    <mergeCell ref="AL6:AL8"/>
    <mergeCell ref="AM6:AM8"/>
    <mergeCell ref="AN6:AN8"/>
    <mergeCell ref="A18:A19"/>
    <mergeCell ref="B18:B19"/>
    <mergeCell ref="C18:C19"/>
    <mergeCell ref="AP18:AP19"/>
    <mergeCell ref="A20:A21"/>
    <mergeCell ref="B20:B21"/>
    <mergeCell ref="C20:C21"/>
    <mergeCell ref="AP20:AP21"/>
    <mergeCell ref="A14:A15"/>
    <mergeCell ref="B14:B15"/>
    <mergeCell ref="C14:C15"/>
    <mergeCell ref="AP14:AP15"/>
    <mergeCell ref="A16:A17"/>
    <mergeCell ref="B16:B17"/>
    <mergeCell ref="C16:C17"/>
    <mergeCell ref="AP16:AP17"/>
    <mergeCell ref="A10:A11"/>
    <mergeCell ref="B10:B11"/>
    <mergeCell ref="C10:C11"/>
    <mergeCell ref="AP10:AP11"/>
    <mergeCell ref="A12:A13"/>
    <mergeCell ref="B12:B13"/>
    <mergeCell ref="C12:C13"/>
    <mergeCell ref="AP12:AP13"/>
    <mergeCell ref="A1:L1"/>
    <mergeCell ref="A2:K2"/>
    <mergeCell ref="A3:K3"/>
    <mergeCell ref="A4:AP4"/>
    <mergeCell ref="A5:A8"/>
    <mergeCell ref="B5:B8"/>
    <mergeCell ref="C5:C8"/>
    <mergeCell ref="D5:AH6"/>
    <mergeCell ref="AI5:AK5"/>
    <mergeCell ref="AL5:AN5"/>
    <mergeCell ref="AO5:AO8"/>
    <mergeCell ref="AP5:AP8"/>
    <mergeCell ref="AI6:AI8"/>
    <mergeCell ref="AJ6:AJ8"/>
    <mergeCell ref="AK6:AK8"/>
  </mergeCells>
  <printOptions horizontalCentered="1"/>
  <pageMargins left="0.17" right="0.17" top="0.22" bottom="0.14000000000000001" header="0.17" footer="0.11"/>
  <pageSetup scale="59" orientation="landscape" r:id="rId1"/>
  <rowBreaks count="1" manualBreakCount="1">
    <brk id="49" max="4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ED51-DF7D-46DA-81B4-2D1DA53F78F1}">
  <dimension ref="A1:AX62"/>
  <sheetViews>
    <sheetView zoomScale="90" zoomScaleNormal="90" zoomScaleSheetLayoutView="90" workbookViewId="0">
      <pane xSplit="3" ySplit="9" topLeftCell="D10" activePane="bottomRight" state="frozen"/>
      <selection activeCell="B62" sqref="B62"/>
      <selection pane="topRight" activeCell="B62" sqref="B62"/>
      <selection pane="bottomLeft" activeCell="B62" sqref="B62"/>
      <selection pane="bottomRight" activeCell="AJ15" sqref="AJ15"/>
    </sheetView>
  </sheetViews>
  <sheetFormatPr defaultColWidth="9" defaultRowHeight="13.8"/>
  <cols>
    <col min="1" max="1" width="3.5" style="83" customWidth="1"/>
    <col min="2" max="2" width="28.3984375" style="83" customWidth="1"/>
    <col min="3" max="3" width="9.5" style="83" customWidth="1"/>
    <col min="4" max="4" width="4" style="378" customWidth="1"/>
    <col min="5" max="32" width="4" style="385" customWidth="1"/>
    <col min="33" max="33" width="4.09765625" style="385" customWidth="1"/>
    <col min="34" max="34" width="4" style="385" customWidth="1"/>
    <col min="35" max="35" width="4.69921875" style="379" customWidth="1"/>
    <col min="36" max="36" width="5.5" style="379" customWidth="1"/>
    <col min="37" max="37" width="4.3984375" style="379" customWidth="1"/>
    <col min="38" max="38" width="5.09765625" style="397" customWidth="1"/>
    <col min="39" max="39" width="6.59765625" style="379" customWidth="1"/>
    <col min="40" max="40" width="5.59765625" style="379" customWidth="1"/>
    <col min="41" max="41" width="7.19921875" style="378" customWidth="1"/>
    <col min="42" max="42" width="31.59765625" style="378" customWidth="1"/>
    <col min="43" max="16384" width="9" style="378"/>
  </cols>
  <sheetData>
    <row r="1" spans="1:50" s="28" customFormat="1" ht="18" customHeight="1">
      <c r="A1" s="495" t="s">
        <v>260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02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23"/>
      <c r="AA1" s="423"/>
      <c r="AB1" s="423"/>
      <c r="AC1" s="423"/>
      <c r="AD1" s="423"/>
      <c r="AE1" s="423"/>
      <c r="AF1" s="423"/>
      <c r="AG1" s="423"/>
      <c r="AH1" s="423"/>
      <c r="AI1" s="423"/>
      <c r="AJ1" s="423"/>
      <c r="AK1" s="423"/>
      <c r="AL1" s="423"/>
      <c r="AM1" s="423"/>
      <c r="AN1" s="423"/>
      <c r="AO1" s="423"/>
      <c r="AP1" s="423"/>
      <c r="AQ1" s="103"/>
      <c r="AR1" s="103"/>
      <c r="AS1" s="103"/>
      <c r="AT1" s="103"/>
      <c r="AU1" s="103"/>
      <c r="AV1" s="103"/>
      <c r="AW1" s="103"/>
      <c r="AX1" s="103"/>
    </row>
    <row r="2" spans="1:50" s="28" customFormat="1" ht="18" customHeight="1">
      <c r="A2" s="496" t="s">
        <v>271</v>
      </c>
      <c r="B2" s="496"/>
      <c r="C2" s="496"/>
      <c r="D2" s="496"/>
      <c r="E2" s="496"/>
      <c r="F2" s="496"/>
      <c r="G2" s="496"/>
      <c r="H2" s="496"/>
      <c r="I2" s="496"/>
      <c r="J2" s="496"/>
      <c r="K2" s="404"/>
      <c r="L2" s="404"/>
      <c r="M2" s="405"/>
      <c r="N2" s="405"/>
      <c r="O2" s="405"/>
      <c r="P2" s="405"/>
      <c r="Q2" s="405"/>
      <c r="R2" s="403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  <c r="AP2" s="402"/>
    </row>
    <row r="3" spans="1:50" s="28" customFormat="1" ht="10.5" customHeight="1">
      <c r="A3" s="497"/>
      <c r="B3" s="497"/>
      <c r="C3" s="497"/>
      <c r="D3" s="497"/>
      <c r="E3" s="497"/>
      <c r="F3" s="497"/>
      <c r="G3" s="497"/>
      <c r="H3" s="497"/>
      <c r="I3" s="497"/>
      <c r="J3" s="497"/>
      <c r="K3" s="404"/>
      <c r="L3" s="404"/>
      <c r="M3" s="405"/>
      <c r="N3" s="405"/>
      <c r="O3" s="405"/>
      <c r="P3" s="405"/>
      <c r="Q3" s="405"/>
      <c r="R3" s="403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20"/>
      <c r="AE3" s="420"/>
      <c r="AF3" s="420"/>
      <c r="AG3" s="420"/>
      <c r="AH3" s="420"/>
      <c r="AI3" s="420"/>
      <c r="AJ3" s="420"/>
      <c r="AK3" s="420"/>
      <c r="AL3" s="420"/>
      <c r="AM3" s="420"/>
      <c r="AN3" s="420"/>
      <c r="AO3" s="420"/>
      <c r="AP3" s="420"/>
    </row>
    <row r="4" spans="1:50" s="328" customFormat="1" ht="30.75" customHeight="1">
      <c r="A4" s="498" t="str">
        <f>"BẢNG CHẤM CÔNG BỘ PHẬN TẠP VỤ THÁNG "&amp;TEXT(MONTH($D$7),"00")&amp;" NĂM 2025"</f>
        <v>BẢNG CHẤM CÔNG BỘ PHẬN TẠP VỤ THÁNG 12 NĂM 2025</v>
      </c>
      <c r="B4" s="498"/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8"/>
      <c r="U4" s="498"/>
      <c r="V4" s="498"/>
      <c r="W4" s="498"/>
      <c r="X4" s="498"/>
      <c r="Y4" s="498"/>
      <c r="Z4" s="498"/>
      <c r="AA4" s="498"/>
      <c r="AB4" s="498"/>
      <c r="AC4" s="498"/>
      <c r="AD4" s="498"/>
      <c r="AE4" s="498"/>
      <c r="AF4" s="498"/>
      <c r="AG4" s="498"/>
      <c r="AH4" s="498"/>
      <c r="AI4" s="498"/>
      <c r="AJ4" s="498"/>
      <c r="AK4" s="498"/>
      <c r="AL4" s="498"/>
      <c r="AM4" s="498"/>
      <c r="AN4" s="498"/>
      <c r="AO4" s="498"/>
      <c r="AP4" s="498"/>
    </row>
    <row r="5" spans="1:50" ht="20.25" customHeight="1">
      <c r="A5" s="556" t="s">
        <v>0</v>
      </c>
      <c r="B5" s="557" t="s">
        <v>174</v>
      </c>
      <c r="C5" s="556" t="s">
        <v>208</v>
      </c>
      <c r="D5" s="558" t="s">
        <v>209</v>
      </c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  <c r="AH5" s="560"/>
      <c r="AI5" s="510" t="s">
        <v>210</v>
      </c>
      <c r="AJ5" s="511"/>
      <c r="AK5" s="512"/>
      <c r="AL5" s="513" t="s">
        <v>211</v>
      </c>
      <c r="AM5" s="514"/>
      <c r="AN5" s="514"/>
      <c r="AO5" s="501" t="s">
        <v>212</v>
      </c>
      <c r="AP5" s="515" t="s">
        <v>178</v>
      </c>
    </row>
    <row r="6" spans="1:50" s="406" customFormat="1" ht="20.25" customHeight="1">
      <c r="A6" s="556"/>
      <c r="B6" s="557"/>
      <c r="C6" s="556"/>
      <c r="D6" s="561"/>
      <c r="E6" s="562"/>
      <c r="F6" s="562"/>
      <c r="G6" s="562"/>
      <c r="H6" s="562"/>
      <c r="I6" s="562"/>
      <c r="J6" s="562"/>
      <c r="K6" s="562"/>
      <c r="L6" s="562"/>
      <c r="M6" s="562"/>
      <c r="N6" s="562"/>
      <c r="O6" s="562"/>
      <c r="P6" s="562"/>
      <c r="Q6" s="562"/>
      <c r="R6" s="562"/>
      <c r="S6" s="562"/>
      <c r="T6" s="562"/>
      <c r="U6" s="562"/>
      <c r="V6" s="562"/>
      <c r="W6" s="562"/>
      <c r="X6" s="562"/>
      <c r="Y6" s="562"/>
      <c r="Z6" s="562"/>
      <c r="AA6" s="562"/>
      <c r="AB6" s="562"/>
      <c r="AC6" s="562"/>
      <c r="AD6" s="562"/>
      <c r="AE6" s="562"/>
      <c r="AF6" s="562"/>
      <c r="AG6" s="562"/>
      <c r="AH6" s="563"/>
      <c r="AI6" s="518" t="s">
        <v>253</v>
      </c>
      <c r="AJ6" s="521" t="s">
        <v>255</v>
      </c>
      <c r="AK6" s="521" t="s">
        <v>214</v>
      </c>
      <c r="AL6" s="524" t="s">
        <v>243</v>
      </c>
      <c r="AM6" s="521" t="s">
        <v>254</v>
      </c>
      <c r="AN6" s="521" t="s">
        <v>215</v>
      </c>
      <c r="AO6" s="502"/>
      <c r="AP6" s="516"/>
    </row>
    <row r="7" spans="1:50" s="406" customFormat="1" ht="33" customHeight="1">
      <c r="A7" s="556"/>
      <c r="B7" s="557"/>
      <c r="C7" s="556"/>
      <c r="D7" s="445">
        <v>45992</v>
      </c>
      <c r="E7" s="407">
        <f t="shared" ref="E7:AH7" si="0">D7+1</f>
        <v>45993</v>
      </c>
      <c r="F7" s="407">
        <f t="shared" si="0"/>
        <v>45994</v>
      </c>
      <c r="G7" s="407">
        <f t="shared" si="0"/>
        <v>45995</v>
      </c>
      <c r="H7" s="407">
        <f t="shared" si="0"/>
        <v>45996</v>
      </c>
      <c r="I7" s="407">
        <f t="shared" si="0"/>
        <v>45997</v>
      </c>
      <c r="J7" s="450">
        <f t="shared" si="0"/>
        <v>45998</v>
      </c>
      <c r="K7" s="407">
        <f t="shared" si="0"/>
        <v>45999</v>
      </c>
      <c r="L7" s="407">
        <f t="shared" si="0"/>
        <v>46000</v>
      </c>
      <c r="M7" s="407">
        <f t="shared" si="0"/>
        <v>46001</v>
      </c>
      <c r="N7" s="407">
        <f t="shared" si="0"/>
        <v>46002</v>
      </c>
      <c r="O7" s="407">
        <f t="shared" si="0"/>
        <v>46003</v>
      </c>
      <c r="P7" s="407">
        <f t="shared" si="0"/>
        <v>46004</v>
      </c>
      <c r="Q7" s="450">
        <f t="shared" si="0"/>
        <v>46005</v>
      </c>
      <c r="R7" s="407">
        <f t="shared" si="0"/>
        <v>46006</v>
      </c>
      <c r="S7" s="407">
        <f t="shared" si="0"/>
        <v>46007</v>
      </c>
      <c r="T7" s="407">
        <f t="shared" si="0"/>
        <v>46008</v>
      </c>
      <c r="U7" s="407">
        <f t="shared" si="0"/>
        <v>46009</v>
      </c>
      <c r="V7" s="407">
        <f t="shared" si="0"/>
        <v>46010</v>
      </c>
      <c r="W7" s="407">
        <f t="shared" si="0"/>
        <v>46011</v>
      </c>
      <c r="X7" s="450">
        <f t="shared" si="0"/>
        <v>46012</v>
      </c>
      <c r="Y7" s="407">
        <f t="shared" si="0"/>
        <v>46013</v>
      </c>
      <c r="Z7" s="407">
        <f t="shared" si="0"/>
        <v>46014</v>
      </c>
      <c r="AA7" s="407">
        <f t="shared" si="0"/>
        <v>46015</v>
      </c>
      <c r="AB7" s="407">
        <f t="shared" si="0"/>
        <v>46016</v>
      </c>
      <c r="AC7" s="407">
        <f t="shared" si="0"/>
        <v>46017</v>
      </c>
      <c r="AD7" s="407">
        <f t="shared" si="0"/>
        <v>46018</v>
      </c>
      <c r="AE7" s="450">
        <f t="shared" si="0"/>
        <v>46019</v>
      </c>
      <c r="AF7" s="407">
        <f t="shared" si="0"/>
        <v>46020</v>
      </c>
      <c r="AG7" s="407">
        <f t="shared" si="0"/>
        <v>46021</v>
      </c>
      <c r="AH7" s="407">
        <f t="shared" si="0"/>
        <v>46022</v>
      </c>
      <c r="AI7" s="519"/>
      <c r="AJ7" s="522"/>
      <c r="AK7" s="522"/>
      <c r="AL7" s="525"/>
      <c r="AM7" s="522"/>
      <c r="AN7" s="522"/>
      <c r="AO7" s="502"/>
      <c r="AP7" s="516"/>
    </row>
    <row r="8" spans="1:50" s="406" customFormat="1" ht="30.9" customHeight="1">
      <c r="A8" s="556"/>
      <c r="B8" s="557"/>
      <c r="C8" s="556"/>
      <c r="D8" s="408" t="str">
        <f t="shared" ref="D8:AH8" si="1">IF("T"&amp;(WEEKDAY(D7))="T1","CN","T"&amp;(WEEKDAY(D7)))</f>
        <v>T2</v>
      </c>
      <c r="E8" s="408" t="str">
        <f t="shared" si="1"/>
        <v>T3</v>
      </c>
      <c r="F8" s="408" t="str">
        <f t="shared" si="1"/>
        <v>T4</v>
      </c>
      <c r="G8" s="408" t="str">
        <f t="shared" si="1"/>
        <v>T5</v>
      </c>
      <c r="H8" s="408" t="str">
        <f t="shared" si="1"/>
        <v>T6</v>
      </c>
      <c r="I8" s="408" t="str">
        <f t="shared" si="1"/>
        <v>T7</v>
      </c>
      <c r="J8" s="451" t="str">
        <f t="shared" si="1"/>
        <v>CN</v>
      </c>
      <c r="K8" s="408" t="str">
        <f t="shared" si="1"/>
        <v>T2</v>
      </c>
      <c r="L8" s="408" t="str">
        <f t="shared" si="1"/>
        <v>T3</v>
      </c>
      <c r="M8" s="408" t="str">
        <f t="shared" si="1"/>
        <v>T4</v>
      </c>
      <c r="N8" s="408" t="str">
        <f t="shared" si="1"/>
        <v>T5</v>
      </c>
      <c r="O8" s="408" t="str">
        <f t="shared" si="1"/>
        <v>T6</v>
      </c>
      <c r="P8" s="408" t="str">
        <f t="shared" si="1"/>
        <v>T7</v>
      </c>
      <c r="Q8" s="451" t="str">
        <f t="shared" si="1"/>
        <v>CN</v>
      </c>
      <c r="R8" s="408" t="str">
        <f t="shared" si="1"/>
        <v>T2</v>
      </c>
      <c r="S8" s="408" t="str">
        <f t="shared" si="1"/>
        <v>T3</v>
      </c>
      <c r="T8" s="408" t="str">
        <f t="shared" si="1"/>
        <v>T4</v>
      </c>
      <c r="U8" s="408" t="str">
        <f t="shared" si="1"/>
        <v>T5</v>
      </c>
      <c r="V8" s="408" t="str">
        <f t="shared" si="1"/>
        <v>T6</v>
      </c>
      <c r="W8" s="408" t="str">
        <f t="shared" si="1"/>
        <v>T7</v>
      </c>
      <c r="X8" s="451" t="str">
        <f t="shared" si="1"/>
        <v>CN</v>
      </c>
      <c r="Y8" s="408" t="str">
        <f t="shared" si="1"/>
        <v>T2</v>
      </c>
      <c r="Z8" s="408" t="str">
        <f t="shared" si="1"/>
        <v>T3</v>
      </c>
      <c r="AA8" s="408" t="str">
        <f t="shared" si="1"/>
        <v>T4</v>
      </c>
      <c r="AB8" s="408" t="str">
        <f t="shared" si="1"/>
        <v>T5</v>
      </c>
      <c r="AC8" s="408" t="str">
        <f t="shared" si="1"/>
        <v>T6</v>
      </c>
      <c r="AD8" s="408" t="str">
        <f t="shared" si="1"/>
        <v>T7</v>
      </c>
      <c r="AE8" s="451" t="str">
        <f t="shared" si="1"/>
        <v>CN</v>
      </c>
      <c r="AF8" s="408" t="str">
        <f t="shared" si="1"/>
        <v>T2</v>
      </c>
      <c r="AG8" s="408" t="str">
        <f t="shared" si="1"/>
        <v>T3</v>
      </c>
      <c r="AH8" s="408" t="str">
        <f t="shared" si="1"/>
        <v>T4</v>
      </c>
      <c r="AI8" s="520"/>
      <c r="AJ8" s="523"/>
      <c r="AK8" s="523"/>
      <c r="AL8" s="526"/>
      <c r="AM8" s="523"/>
      <c r="AN8" s="523"/>
      <c r="AO8" s="503"/>
      <c r="AP8" s="517"/>
    </row>
    <row r="9" spans="1:50" s="406" customFormat="1" ht="14.25" customHeight="1">
      <c r="A9" s="410">
        <v>1</v>
      </c>
      <c r="B9" s="406">
        <v>2</v>
      </c>
      <c r="C9" s="410">
        <v>3</v>
      </c>
      <c r="D9" s="410">
        <v>4</v>
      </c>
      <c r="E9" s="409">
        <v>5</v>
      </c>
      <c r="F9" s="409">
        <v>6</v>
      </c>
      <c r="G9" s="409">
        <v>7</v>
      </c>
      <c r="H9" s="409">
        <v>8</v>
      </c>
      <c r="I9" s="409">
        <v>9</v>
      </c>
      <c r="J9" s="452">
        <v>10</v>
      </c>
      <c r="K9" s="409">
        <v>11</v>
      </c>
      <c r="L9" s="409">
        <v>12</v>
      </c>
      <c r="M9" s="409">
        <v>13</v>
      </c>
      <c r="N9" s="409">
        <v>14</v>
      </c>
      <c r="O9" s="409">
        <v>15</v>
      </c>
      <c r="P9" s="409">
        <v>16</v>
      </c>
      <c r="Q9" s="452">
        <v>17</v>
      </c>
      <c r="R9" s="409">
        <v>18</v>
      </c>
      <c r="S9" s="409">
        <v>19</v>
      </c>
      <c r="T9" s="409">
        <v>20</v>
      </c>
      <c r="U9" s="409">
        <v>21</v>
      </c>
      <c r="V9" s="409">
        <v>22</v>
      </c>
      <c r="W9" s="409">
        <v>23</v>
      </c>
      <c r="X9" s="452">
        <v>24</v>
      </c>
      <c r="Y9" s="409">
        <v>25</v>
      </c>
      <c r="Z9" s="409">
        <v>26</v>
      </c>
      <c r="AA9" s="409">
        <v>27</v>
      </c>
      <c r="AB9" s="409">
        <v>28</v>
      </c>
      <c r="AC9" s="409">
        <v>29</v>
      </c>
      <c r="AD9" s="409">
        <v>30</v>
      </c>
      <c r="AE9" s="452">
        <v>31</v>
      </c>
      <c r="AF9" s="409">
        <v>32</v>
      </c>
      <c r="AG9" s="409">
        <v>33</v>
      </c>
      <c r="AH9" s="409">
        <v>34</v>
      </c>
      <c r="AI9" s="409">
        <v>35</v>
      </c>
      <c r="AJ9" s="409">
        <v>36</v>
      </c>
      <c r="AK9" s="409">
        <v>37</v>
      </c>
      <c r="AL9" s="409">
        <v>38</v>
      </c>
      <c r="AM9" s="409">
        <v>39</v>
      </c>
      <c r="AN9" s="409">
        <v>40</v>
      </c>
      <c r="AO9" s="409">
        <v>41</v>
      </c>
      <c r="AP9" s="409">
        <v>42</v>
      </c>
    </row>
    <row r="10" spans="1:50" s="414" customFormat="1" ht="18.75" customHeight="1">
      <c r="A10" s="527">
        <v>1</v>
      </c>
      <c r="B10" s="532" t="s">
        <v>295</v>
      </c>
      <c r="C10" s="501" t="s">
        <v>296</v>
      </c>
      <c r="D10" s="421" t="s">
        <v>224</v>
      </c>
      <c r="E10" s="421" t="s">
        <v>224</v>
      </c>
      <c r="F10" s="421" t="s">
        <v>224</v>
      </c>
      <c r="G10" s="421" t="s">
        <v>224</v>
      </c>
      <c r="H10" s="421" t="s">
        <v>224</v>
      </c>
      <c r="I10" s="421" t="s">
        <v>224</v>
      </c>
      <c r="J10" s="428" t="s">
        <v>224</v>
      </c>
      <c r="K10" s="421" t="s">
        <v>224</v>
      </c>
      <c r="L10" s="421" t="s">
        <v>224</v>
      </c>
      <c r="M10" s="421" t="s">
        <v>224</v>
      </c>
      <c r="N10" s="421" t="s">
        <v>224</v>
      </c>
      <c r="O10" s="421" t="s">
        <v>224</v>
      </c>
      <c r="P10" s="421" t="s">
        <v>224</v>
      </c>
      <c r="Q10" s="428" t="s">
        <v>224</v>
      </c>
      <c r="R10" s="421" t="s">
        <v>224</v>
      </c>
      <c r="S10" s="421" t="s">
        <v>224</v>
      </c>
      <c r="T10" s="421" t="s">
        <v>224</v>
      </c>
      <c r="U10" s="421" t="s">
        <v>224</v>
      </c>
      <c r="V10" s="421" t="s">
        <v>224</v>
      </c>
      <c r="W10" s="421" t="s">
        <v>224</v>
      </c>
      <c r="X10" s="453" t="s">
        <v>224</v>
      </c>
      <c r="Y10" s="421" t="s">
        <v>224</v>
      </c>
      <c r="Z10" s="421" t="s">
        <v>224</v>
      </c>
      <c r="AA10" s="421" t="s">
        <v>224</v>
      </c>
      <c r="AB10" s="421" t="s">
        <v>224</v>
      </c>
      <c r="AC10" s="421" t="s">
        <v>224</v>
      </c>
      <c r="AD10" s="421" t="s">
        <v>224</v>
      </c>
      <c r="AE10" s="453" t="s">
        <v>224</v>
      </c>
      <c r="AF10" s="421" t="s">
        <v>224</v>
      </c>
      <c r="AG10" s="421" t="s">
        <v>224</v>
      </c>
      <c r="AH10" s="422" t="s">
        <v>224</v>
      </c>
      <c r="AI10" s="411">
        <f>COUNTIF(D10:AH10,"p")+COUNTIF(D10:AH10,"1/p")/2+COUNTIF(D10:AH10,"CĐ")</f>
        <v>0</v>
      </c>
      <c r="AJ10" s="411">
        <f>COUNTIF(D10:AH10,"Ô")+COUNTIF(D10:AH10,"R")+COUNTIF(D10:AH10,"1/2")/2+COUNTIF(D10:AH10,"Ts")</f>
        <v>0</v>
      </c>
      <c r="AK10" s="411">
        <f>COUNTIF(D10:AH10,"Nb")+COUNTIF(D10:AH10,"L")+COUNTIF(D10:AH10,"T")+COUNTIF(D10:AH10,"1/LT")/2</f>
        <v>0</v>
      </c>
      <c r="AL10" s="412">
        <f>SUM(D11:AH11)</f>
        <v>0</v>
      </c>
      <c r="AM10" s="411">
        <f>COUNTIF(D10:AH10,"F1")+COUNTIF(D10:AH10,"1/F1")/2</f>
        <v>0</v>
      </c>
      <c r="AN10" s="411">
        <f>COUNTIF(D10:AH10,"F")+COUNTIF(D10:AH10,"1/lt")/2</f>
        <v>0</v>
      </c>
      <c r="AO10" s="413">
        <f>COUNTIF(D10:AH10,"X")+COUNTIF(D10:AH10,"1/2")/2+COUNTIF(D10:AH10,"1/p")/2+COUNTIF(D10:AH10,"ĐH")</f>
        <v>31</v>
      </c>
      <c r="AP10" s="527"/>
    </row>
    <row r="11" spans="1:50" s="414" customFormat="1" ht="18.75" customHeight="1">
      <c r="A11" s="528"/>
      <c r="B11" s="533"/>
      <c r="C11" s="503"/>
      <c r="D11" s="442"/>
      <c r="E11" s="427"/>
      <c r="F11" s="427"/>
      <c r="G11" s="427"/>
      <c r="H11" s="427"/>
      <c r="I11" s="427"/>
      <c r="J11" s="454"/>
      <c r="K11" s="427"/>
      <c r="L11" s="427"/>
      <c r="M11" s="427"/>
      <c r="N11" s="427"/>
      <c r="O11" s="427"/>
      <c r="P11" s="427"/>
      <c r="Q11" s="454"/>
      <c r="R11" s="427"/>
      <c r="S11" s="427"/>
      <c r="T11" s="427"/>
      <c r="U11" s="427"/>
      <c r="V11" s="427"/>
      <c r="W11" s="427"/>
      <c r="X11" s="453"/>
      <c r="Y11" s="421"/>
      <c r="Z11" s="421"/>
      <c r="AA11" s="421"/>
      <c r="AB11" s="421"/>
      <c r="AC11" s="421"/>
      <c r="AD11" s="421"/>
      <c r="AE11" s="453"/>
      <c r="AF11" s="421"/>
      <c r="AG11" s="421"/>
      <c r="AH11" s="422"/>
      <c r="AI11" s="411"/>
      <c r="AJ11" s="411"/>
      <c r="AK11" s="411"/>
      <c r="AL11" s="412"/>
      <c r="AM11" s="411"/>
      <c r="AN11" s="411"/>
      <c r="AO11" s="413"/>
      <c r="AP11" s="528"/>
      <c r="AR11" s="432"/>
    </row>
    <row r="12" spans="1:50" s="414" customFormat="1" ht="18.75" customHeight="1">
      <c r="A12" s="527">
        <f>A10+1</f>
        <v>2</v>
      </c>
      <c r="B12" s="532" t="s">
        <v>288</v>
      </c>
      <c r="C12" s="541" t="s">
        <v>276</v>
      </c>
      <c r="D12" s="421" t="s">
        <v>224</v>
      </c>
      <c r="E12" s="421" t="s">
        <v>224</v>
      </c>
      <c r="F12" s="421" t="s">
        <v>224</v>
      </c>
      <c r="G12" s="421" t="s">
        <v>224</v>
      </c>
      <c r="H12" s="421" t="s">
        <v>224</v>
      </c>
      <c r="I12" s="421" t="s">
        <v>224</v>
      </c>
      <c r="J12" s="428" t="s">
        <v>224</v>
      </c>
      <c r="K12" s="421" t="s">
        <v>224</v>
      </c>
      <c r="L12" s="421" t="s">
        <v>224</v>
      </c>
      <c r="M12" s="421" t="s">
        <v>224</v>
      </c>
      <c r="N12" s="421" t="s">
        <v>224</v>
      </c>
      <c r="O12" s="421" t="s">
        <v>224</v>
      </c>
      <c r="P12" s="421" t="s">
        <v>224</v>
      </c>
      <c r="Q12" s="428" t="s">
        <v>224</v>
      </c>
      <c r="R12" s="421" t="s">
        <v>224</v>
      </c>
      <c r="S12" s="421" t="s">
        <v>224</v>
      </c>
      <c r="T12" s="421" t="s">
        <v>224</v>
      </c>
      <c r="U12" s="421" t="s">
        <v>224</v>
      </c>
      <c r="V12" s="421" t="s">
        <v>224</v>
      </c>
      <c r="W12" s="421" t="s">
        <v>224</v>
      </c>
      <c r="X12" s="453" t="s">
        <v>224</v>
      </c>
      <c r="Y12" s="421" t="s">
        <v>224</v>
      </c>
      <c r="Z12" s="421" t="s">
        <v>224</v>
      </c>
      <c r="AA12" s="421" t="s">
        <v>224</v>
      </c>
      <c r="AB12" s="421" t="s">
        <v>224</v>
      </c>
      <c r="AC12" s="421" t="s">
        <v>224</v>
      </c>
      <c r="AD12" s="421" t="s">
        <v>224</v>
      </c>
      <c r="AE12" s="453" t="s">
        <v>224</v>
      </c>
      <c r="AF12" s="421" t="s">
        <v>224</v>
      </c>
      <c r="AG12" s="421" t="s">
        <v>224</v>
      </c>
      <c r="AH12" s="422" t="s">
        <v>224</v>
      </c>
      <c r="AI12" s="411">
        <f>COUNTIF(D12:AH12,"p")+COUNTIF(D12:AH12,"1/p")/2+COUNTIF(D12:AH12,"CĐ")</f>
        <v>0</v>
      </c>
      <c r="AJ12" s="411">
        <f>COUNTIF(D12:AH12,"Ô")+COUNTIF(D12:AH12,"R")+COUNTIF(D12:AH12,"1/2")/2+COUNTIF(D12:AH12,"Ts")</f>
        <v>0</v>
      </c>
      <c r="AK12" s="411">
        <f>COUNTIF(D12:AH12,"Nb")+COUNTIF(D12:AH12,"L")+COUNTIF(D12:AH12,"T")+COUNTIF(D12:AH12,"1/LT")/2</f>
        <v>0</v>
      </c>
      <c r="AL12" s="412">
        <f>SUM(D13:AH13)</f>
        <v>0</v>
      </c>
      <c r="AM12" s="411">
        <f>COUNTIF(D12:AH12,"F1")+COUNTIF(D12:AH12,"1/F1")/2</f>
        <v>0</v>
      </c>
      <c r="AN12" s="411">
        <f>COUNTIF(D12:AH12,"F")+COUNTIF(D12:AH12,"1/lt")/2</f>
        <v>0</v>
      </c>
      <c r="AO12" s="413">
        <f>COUNTIF(D12:AH12,"X")+COUNTIF(D12:AH12,"1/2")/2+COUNTIF(D12:AH12,"1/p")/2+COUNTIF(D12:AH12,"ĐH")</f>
        <v>31</v>
      </c>
      <c r="AP12" s="527"/>
      <c r="AR12" s="424"/>
    </row>
    <row r="13" spans="1:50" s="414" customFormat="1" ht="18.75" customHeight="1">
      <c r="A13" s="528"/>
      <c r="B13" s="533"/>
      <c r="C13" s="542"/>
      <c r="D13" s="442"/>
      <c r="E13" s="427"/>
      <c r="F13" s="427"/>
      <c r="G13" s="427"/>
      <c r="H13" s="427"/>
      <c r="I13" s="427"/>
      <c r="J13" s="454"/>
      <c r="K13" s="427"/>
      <c r="L13" s="427"/>
      <c r="M13" s="427"/>
      <c r="N13" s="427"/>
      <c r="O13" s="427"/>
      <c r="P13" s="427"/>
      <c r="Q13" s="454"/>
      <c r="R13" s="427"/>
      <c r="S13" s="427"/>
      <c r="T13" s="427"/>
      <c r="U13" s="427"/>
      <c r="V13" s="427"/>
      <c r="W13" s="427"/>
      <c r="X13" s="453"/>
      <c r="Y13" s="421"/>
      <c r="Z13" s="421"/>
      <c r="AA13" s="421"/>
      <c r="AB13" s="421"/>
      <c r="AC13" s="421"/>
      <c r="AD13" s="421"/>
      <c r="AE13" s="453"/>
      <c r="AF13" s="421"/>
      <c r="AG13" s="421"/>
      <c r="AH13" s="422"/>
      <c r="AI13" s="411"/>
      <c r="AJ13" s="411"/>
      <c r="AK13" s="411"/>
      <c r="AL13" s="412"/>
      <c r="AM13" s="411"/>
      <c r="AN13" s="411"/>
      <c r="AO13" s="413"/>
      <c r="AP13" s="528"/>
    </row>
    <row r="14" spans="1:50" s="414" customFormat="1" ht="18.75" customHeight="1">
      <c r="A14" s="527">
        <f>A12+1</f>
        <v>3</v>
      </c>
      <c r="B14" s="532" t="s">
        <v>277</v>
      </c>
      <c r="C14" s="541" t="s">
        <v>276</v>
      </c>
      <c r="D14" s="421" t="s">
        <v>224</v>
      </c>
      <c r="E14" s="421" t="s">
        <v>224</v>
      </c>
      <c r="F14" s="421" t="s">
        <v>224</v>
      </c>
      <c r="G14" s="421" t="s">
        <v>224</v>
      </c>
      <c r="H14" s="421" t="s">
        <v>224</v>
      </c>
      <c r="I14" s="421" t="s">
        <v>224</v>
      </c>
      <c r="J14" s="428" t="s">
        <v>224</v>
      </c>
      <c r="K14" s="421" t="s">
        <v>224</v>
      </c>
      <c r="L14" s="421" t="s">
        <v>224</v>
      </c>
      <c r="M14" s="421" t="s">
        <v>224</v>
      </c>
      <c r="N14" s="421" t="s">
        <v>224</v>
      </c>
      <c r="O14" s="421" t="s">
        <v>224</v>
      </c>
      <c r="P14" s="421" t="s">
        <v>224</v>
      </c>
      <c r="Q14" s="428" t="s">
        <v>224</v>
      </c>
      <c r="R14" s="421" t="s">
        <v>224</v>
      </c>
      <c r="S14" s="421" t="s">
        <v>224</v>
      </c>
      <c r="T14" s="421" t="s">
        <v>224</v>
      </c>
      <c r="U14" s="421" t="s">
        <v>224</v>
      </c>
      <c r="V14" s="421" t="s">
        <v>224</v>
      </c>
      <c r="W14" s="421" t="s">
        <v>224</v>
      </c>
      <c r="X14" s="453" t="s">
        <v>224</v>
      </c>
      <c r="Y14" s="421" t="s">
        <v>224</v>
      </c>
      <c r="Z14" s="421" t="s">
        <v>224</v>
      </c>
      <c r="AA14" s="421" t="s">
        <v>224</v>
      </c>
      <c r="AB14" s="421" t="s">
        <v>224</v>
      </c>
      <c r="AC14" s="421" t="s">
        <v>224</v>
      </c>
      <c r="AD14" s="421" t="s">
        <v>224</v>
      </c>
      <c r="AE14" s="453" t="s">
        <v>224</v>
      </c>
      <c r="AF14" s="421" t="s">
        <v>224</v>
      </c>
      <c r="AG14" s="421" t="s">
        <v>224</v>
      </c>
      <c r="AH14" s="422" t="s">
        <v>224</v>
      </c>
      <c r="AI14" s="411">
        <f>COUNTIF(D14:AH14,"p")+COUNTIF(D14:AH14,"1/p")/2+COUNTIF(D14:AH14,"CĐ")</f>
        <v>0</v>
      </c>
      <c r="AJ14" s="411">
        <f>COUNTIF(D14:AH14,"Ô")+COUNTIF(D14:AH14,"R")+COUNTIF(D14:AH14,"1/2")/2+COUNTIF(D14:AH14,"Ts")</f>
        <v>0</v>
      </c>
      <c r="AK14" s="411">
        <f>COUNTIF(D14:AH14,"Nb")+COUNTIF(D14:AH14,"L")+COUNTIF(D14:AH14,"T")+COUNTIF(D14:AH14,"1/LT")/2</f>
        <v>0</v>
      </c>
      <c r="AL14" s="412">
        <f>SUM(D15:AH15)</f>
        <v>0</v>
      </c>
      <c r="AM14" s="411">
        <f>COUNTIF(D14:AH14,"F1")+COUNTIF(D14:AH14,"1/F1")/2</f>
        <v>0</v>
      </c>
      <c r="AN14" s="411">
        <f>COUNTIF(D14:AH14,"F")+COUNTIF(D14:AH14,"1/lt")/2</f>
        <v>0</v>
      </c>
      <c r="AO14" s="413">
        <f>COUNTIF(D14:AH14,"X")+COUNTIF(D14:AH14,"1/2")/2+COUNTIF(D14:AH14,"1/p")/2+COUNTIF(D14:AH14,"ĐH")</f>
        <v>31</v>
      </c>
      <c r="AP14" s="534"/>
      <c r="AR14" s="432"/>
    </row>
    <row r="15" spans="1:50" s="414" customFormat="1" ht="18.75" customHeight="1">
      <c r="A15" s="528"/>
      <c r="B15" s="533"/>
      <c r="C15" s="542"/>
      <c r="D15" s="442"/>
      <c r="E15" s="427"/>
      <c r="F15" s="427"/>
      <c r="G15" s="427"/>
      <c r="H15" s="427"/>
      <c r="I15" s="427"/>
      <c r="J15" s="454"/>
      <c r="K15" s="442"/>
      <c r="L15" s="427"/>
      <c r="M15" s="427"/>
      <c r="N15" s="427"/>
      <c r="O15" s="427"/>
      <c r="P15" s="427"/>
      <c r="Q15" s="454"/>
      <c r="R15" s="442"/>
      <c r="S15" s="427"/>
      <c r="T15" s="427"/>
      <c r="U15" s="427"/>
      <c r="V15" s="427"/>
      <c r="W15" s="427"/>
      <c r="X15" s="454"/>
      <c r="Y15" s="427"/>
      <c r="Z15" s="427"/>
      <c r="AA15" s="427"/>
      <c r="AB15" s="427"/>
      <c r="AC15" s="427"/>
      <c r="AD15" s="427"/>
      <c r="AE15" s="454"/>
      <c r="AF15" s="427"/>
      <c r="AG15" s="427"/>
      <c r="AH15" s="427"/>
      <c r="AI15" s="411"/>
      <c r="AJ15" s="411"/>
      <c r="AK15" s="411"/>
      <c r="AL15" s="412"/>
      <c r="AM15" s="411"/>
      <c r="AN15" s="411"/>
      <c r="AO15" s="413"/>
      <c r="AP15" s="535"/>
    </row>
    <row r="16" spans="1:50" s="414" customFormat="1" ht="18.75" customHeight="1">
      <c r="A16" s="527">
        <f>A14+1</f>
        <v>4</v>
      </c>
      <c r="B16" s="532" t="s">
        <v>285</v>
      </c>
      <c r="C16" s="541" t="s">
        <v>276</v>
      </c>
      <c r="D16" s="421" t="s">
        <v>224</v>
      </c>
      <c r="E16" s="421" t="s">
        <v>224</v>
      </c>
      <c r="F16" s="421" t="s">
        <v>224</v>
      </c>
      <c r="G16" s="421" t="s">
        <v>224</v>
      </c>
      <c r="H16" s="421" t="s">
        <v>224</v>
      </c>
      <c r="I16" s="421" t="s">
        <v>224</v>
      </c>
      <c r="J16" s="428" t="s">
        <v>224</v>
      </c>
      <c r="K16" s="421" t="s">
        <v>224</v>
      </c>
      <c r="L16" s="421" t="s">
        <v>224</v>
      </c>
      <c r="M16" s="421" t="s">
        <v>224</v>
      </c>
      <c r="N16" s="421" t="s">
        <v>224</v>
      </c>
      <c r="O16" s="421" t="s">
        <v>224</v>
      </c>
      <c r="P16" s="421" t="s">
        <v>224</v>
      </c>
      <c r="Q16" s="428" t="s">
        <v>224</v>
      </c>
      <c r="R16" s="421" t="s">
        <v>224</v>
      </c>
      <c r="S16" s="421" t="s">
        <v>224</v>
      </c>
      <c r="T16" s="421" t="s">
        <v>224</v>
      </c>
      <c r="U16" s="421" t="s">
        <v>224</v>
      </c>
      <c r="V16" s="421" t="s">
        <v>224</v>
      </c>
      <c r="W16" s="421" t="s">
        <v>224</v>
      </c>
      <c r="X16" s="453" t="s">
        <v>224</v>
      </c>
      <c r="Y16" s="421" t="s">
        <v>224</v>
      </c>
      <c r="Z16" s="421" t="s">
        <v>224</v>
      </c>
      <c r="AA16" s="421" t="s">
        <v>224</v>
      </c>
      <c r="AB16" s="421" t="s">
        <v>224</v>
      </c>
      <c r="AC16" s="421" t="s">
        <v>224</v>
      </c>
      <c r="AD16" s="421" t="s">
        <v>224</v>
      </c>
      <c r="AE16" s="453" t="s">
        <v>224</v>
      </c>
      <c r="AF16" s="421" t="s">
        <v>224</v>
      </c>
      <c r="AG16" s="421" t="s">
        <v>224</v>
      </c>
      <c r="AH16" s="422" t="s">
        <v>224</v>
      </c>
      <c r="AI16" s="411">
        <f>COUNTIF(D16:AH16,"p")+COUNTIF(D16:AH16,"1/p")/2+COUNTIF(D16:AH16,"CĐ")</f>
        <v>0</v>
      </c>
      <c r="AJ16" s="411">
        <f>COUNTIF(D16:AH16,"Ô")+COUNTIF(D16:AH16,"R")+COUNTIF(D16:AH16,"1/2")/2+COUNTIF(D16:AH16,"Ts")</f>
        <v>0</v>
      </c>
      <c r="AK16" s="411">
        <f>COUNTIF(D16:AH16,"Nb")+COUNTIF(D16:AH16,"L")+COUNTIF(D16:AH16,"T")+COUNTIF(D16:AH16,"1/LT")/2</f>
        <v>0</v>
      </c>
      <c r="AL16" s="412">
        <f>SUM(D17:AH17)</f>
        <v>0</v>
      </c>
      <c r="AM16" s="411">
        <f>COUNTIF(D16:AH16,"F1")+COUNTIF(D16:AH16,"1/F1")/2</f>
        <v>0</v>
      </c>
      <c r="AN16" s="411">
        <f>COUNTIF(D16:AH16,"F")+COUNTIF(D16:AH16,"1/lt")/2</f>
        <v>0</v>
      </c>
      <c r="AO16" s="413">
        <f>COUNTIF(D16:AH16,"X")+COUNTIF(D16:AH16,"1/2")/2+COUNTIF(D16:AH16,"1/p")/2+COUNTIF(D16:AH16,"ĐH")</f>
        <v>31</v>
      </c>
      <c r="AP16" s="534"/>
    </row>
    <row r="17" spans="1:42" s="414" customFormat="1" ht="18.75" customHeight="1">
      <c r="A17" s="528"/>
      <c r="B17" s="533"/>
      <c r="C17" s="542"/>
      <c r="D17" s="442"/>
      <c r="E17" s="427"/>
      <c r="F17" s="427"/>
      <c r="G17" s="427"/>
      <c r="H17" s="427"/>
      <c r="I17" s="427"/>
      <c r="J17" s="454"/>
      <c r="K17" s="427"/>
      <c r="L17" s="427"/>
      <c r="M17" s="427"/>
      <c r="N17" s="427"/>
      <c r="O17" s="427"/>
      <c r="P17" s="427"/>
      <c r="Q17" s="454"/>
      <c r="R17" s="427"/>
      <c r="S17" s="427"/>
      <c r="T17" s="427"/>
      <c r="U17" s="427"/>
      <c r="V17" s="427"/>
      <c r="W17" s="427"/>
      <c r="X17" s="454"/>
      <c r="Y17" s="427"/>
      <c r="Z17" s="427"/>
      <c r="AA17" s="427"/>
      <c r="AB17" s="427"/>
      <c r="AC17" s="427"/>
      <c r="AD17" s="427"/>
      <c r="AE17" s="454"/>
      <c r="AF17" s="427"/>
      <c r="AG17" s="427"/>
      <c r="AH17" s="422"/>
      <c r="AI17" s="411"/>
      <c r="AJ17" s="411"/>
      <c r="AK17" s="411"/>
      <c r="AL17" s="412"/>
      <c r="AM17" s="411"/>
      <c r="AN17" s="411"/>
      <c r="AO17" s="413"/>
      <c r="AP17" s="535"/>
    </row>
    <row r="18" spans="1:42" s="414" customFormat="1" ht="18.75" customHeight="1">
      <c r="A18" s="527">
        <f>A16+1</f>
        <v>5</v>
      </c>
      <c r="B18" s="564" t="s">
        <v>286</v>
      </c>
      <c r="C18" s="541" t="s">
        <v>276</v>
      </c>
      <c r="D18" s="421" t="s">
        <v>224</v>
      </c>
      <c r="E18" s="421" t="s">
        <v>224</v>
      </c>
      <c r="F18" s="421" t="s">
        <v>224</v>
      </c>
      <c r="G18" s="421" t="s">
        <v>224</v>
      </c>
      <c r="H18" s="421" t="s">
        <v>224</v>
      </c>
      <c r="I18" s="421" t="s">
        <v>224</v>
      </c>
      <c r="J18" s="428" t="s">
        <v>224</v>
      </c>
      <c r="K18" s="421" t="s">
        <v>224</v>
      </c>
      <c r="L18" s="421" t="s">
        <v>224</v>
      </c>
      <c r="M18" s="421" t="s">
        <v>224</v>
      </c>
      <c r="N18" s="421" t="s">
        <v>224</v>
      </c>
      <c r="O18" s="421" t="s">
        <v>224</v>
      </c>
      <c r="P18" s="421" t="s">
        <v>224</v>
      </c>
      <c r="Q18" s="428" t="s">
        <v>224</v>
      </c>
      <c r="R18" s="421" t="s">
        <v>224</v>
      </c>
      <c r="S18" s="421" t="s">
        <v>224</v>
      </c>
      <c r="T18" s="421" t="s">
        <v>224</v>
      </c>
      <c r="U18" s="421" t="s">
        <v>224</v>
      </c>
      <c r="V18" s="421" t="s">
        <v>224</v>
      </c>
      <c r="W18" s="421" t="s">
        <v>224</v>
      </c>
      <c r="X18" s="453" t="s">
        <v>224</v>
      </c>
      <c r="Y18" s="421" t="s">
        <v>224</v>
      </c>
      <c r="Z18" s="421" t="s">
        <v>224</v>
      </c>
      <c r="AA18" s="421" t="s">
        <v>224</v>
      </c>
      <c r="AB18" s="421" t="s">
        <v>224</v>
      </c>
      <c r="AC18" s="421" t="s">
        <v>224</v>
      </c>
      <c r="AD18" s="421" t="s">
        <v>224</v>
      </c>
      <c r="AE18" s="453" t="s">
        <v>224</v>
      </c>
      <c r="AF18" s="421" t="s">
        <v>224</v>
      </c>
      <c r="AG18" s="421" t="s">
        <v>224</v>
      </c>
      <c r="AH18" s="422" t="s">
        <v>224</v>
      </c>
      <c r="AI18" s="411">
        <f>COUNTIF(D18:AH18,"p")+COUNTIF(D18:AH18,"1/p")/2+COUNTIF(D18:AH18,"CĐ")</f>
        <v>0</v>
      </c>
      <c r="AJ18" s="411">
        <f>COUNTIF(D18:AH18,"Ô")+COUNTIF(D18:AH18,"R")+COUNTIF(D18:AH18,"1/2")/2+COUNTIF(D18:AH18,"Ts")</f>
        <v>0</v>
      </c>
      <c r="AK18" s="411">
        <f>COUNTIF(D18:AH18,"Nb")+COUNTIF(D18:AH18,"L")+COUNTIF(D18:AH18,"T")+COUNTIF(D18:AH18,"1/LT")/2</f>
        <v>0</v>
      </c>
      <c r="AL18" s="412">
        <f>SUM(D19:AH19)</f>
        <v>0</v>
      </c>
      <c r="AM18" s="411">
        <f>COUNTIF(D18:AH18,"F1")+COUNTIF(D18:AH18,"1/F1")/2</f>
        <v>0</v>
      </c>
      <c r="AN18" s="411">
        <f>COUNTIF(D18:AH18,"F")+COUNTIF(D18:AH18,"1/lt")/2</f>
        <v>0</v>
      </c>
      <c r="AO18" s="413">
        <f>COUNTIF(D18:AH18,"X")+COUNTIF(D18:AH18,"1/2")/2+COUNTIF(D18:AH18,"1/p")/2+COUNTIF(D18:AH18,"ĐH")</f>
        <v>31</v>
      </c>
      <c r="AP18" s="534"/>
    </row>
    <row r="19" spans="1:42" s="414" customFormat="1" ht="18.75" customHeight="1">
      <c r="A19" s="528"/>
      <c r="B19" s="564"/>
      <c r="C19" s="542"/>
      <c r="D19" s="442"/>
      <c r="E19" s="427"/>
      <c r="F19" s="427"/>
      <c r="G19" s="427"/>
      <c r="H19" s="427"/>
      <c r="I19" s="427"/>
      <c r="J19" s="454"/>
      <c r="K19" s="427"/>
      <c r="L19" s="427"/>
      <c r="M19" s="427"/>
      <c r="N19" s="427"/>
      <c r="O19" s="427"/>
      <c r="P19" s="427"/>
      <c r="Q19" s="454"/>
      <c r="R19" s="427"/>
      <c r="S19" s="427"/>
      <c r="T19" s="427"/>
      <c r="U19" s="427"/>
      <c r="V19" s="427"/>
      <c r="W19" s="427"/>
      <c r="X19" s="454"/>
      <c r="Y19" s="427"/>
      <c r="Z19" s="427"/>
      <c r="AA19" s="427"/>
      <c r="AB19" s="427"/>
      <c r="AC19" s="427"/>
      <c r="AD19" s="427"/>
      <c r="AE19" s="454"/>
      <c r="AF19" s="427"/>
      <c r="AG19" s="427"/>
      <c r="AH19" s="422"/>
      <c r="AI19" s="411"/>
      <c r="AJ19" s="411"/>
      <c r="AK19" s="411"/>
      <c r="AL19" s="412"/>
      <c r="AM19" s="411"/>
      <c r="AN19" s="411"/>
      <c r="AO19" s="413"/>
      <c r="AP19" s="535"/>
    </row>
    <row r="20" spans="1:42" s="414" customFormat="1" ht="18.75" customHeight="1">
      <c r="A20" s="527">
        <f>A18+1</f>
        <v>6</v>
      </c>
      <c r="B20" s="532" t="s">
        <v>293</v>
      </c>
      <c r="C20" s="541" t="s">
        <v>276</v>
      </c>
      <c r="D20" s="421" t="s">
        <v>224</v>
      </c>
      <c r="E20" s="421" t="s">
        <v>224</v>
      </c>
      <c r="F20" s="421" t="s">
        <v>224</v>
      </c>
      <c r="G20" s="421" t="s">
        <v>224</v>
      </c>
      <c r="H20" s="421" t="s">
        <v>224</v>
      </c>
      <c r="I20" s="421" t="s">
        <v>224</v>
      </c>
      <c r="J20" s="428" t="s">
        <v>224</v>
      </c>
      <c r="K20" s="421" t="s">
        <v>224</v>
      </c>
      <c r="L20" s="421" t="s">
        <v>224</v>
      </c>
      <c r="M20" s="421" t="s">
        <v>224</v>
      </c>
      <c r="N20" s="421" t="s">
        <v>224</v>
      </c>
      <c r="O20" s="421" t="s">
        <v>224</v>
      </c>
      <c r="P20" s="421" t="s">
        <v>224</v>
      </c>
      <c r="Q20" s="428" t="s">
        <v>224</v>
      </c>
      <c r="R20" s="421" t="s">
        <v>224</v>
      </c>
      <c r="S20" s="421" t="s">
        <v>224</v>
      </c>
      <c r="T20" s="421" t="s">
        <v>224</v>
      </c>
      <c r="U20" s="421" t="s">
        <v>224</v>
      </c>
      <c r="V20" s="421" t="s">
        <v>224</v>
      </c>
      <c r="W20" s="421" t="s">
        <v>224</v>
      </c>
      <c r="X20" s="453" t="s">
        <v>224</v>
      </c>
      <c r="Y20" s="421" t="s">
        <v>224</v>
      </c>
      <c r="Z20" s="421" t="s">
        <v>224</v>
      </c>
      <c r="AA20" s="421" t="s">
        <v>224</v>
      </c>
      <c r="AB20" s="421" t="s">
        <v>224</v>
      </c>
      <c r="AC20" s="421" t="s">
        <v>224</v>
      </c>
      <c r="AD20" s="421" t="s">
        <v>224</v>
      </c>
      <c r="AE20" s="453" t="s">
        <v>224</v>
      </c>
      <c r="AF20" s="421" t="s">
        <v>224</v>
      </c>
      <c r="AG20" s="421" t="s">
        <v>224</v>
      </c>
      <c r="AH20" s="422" t="s">
        <v>224</v>
      </c>
      <c r="AI20" s="411">
        <f>COUNTIF(D20:AH20,"p")+COUNTIF(D20:AH20,"1/p")/2+COUNTIF(D20:AH20,"CĐ")</f>
        <v>0</v>
      </c>
      <c r="AJ20" s="411">
        <f>COUNTIF(D20:AH20,"Ô")+COUNTIF(D20:AH20,"R")+COUNTIF(D20:AH20,"1/2")/2+COUNTIF(D20:AH20,"Ts")</f>
        <v>0</v>
      </c>
      <c r="AK20" s="411">
        <f>COUNTIF(D20:AH20,"Nb")+COUNTIF(D20:AH20,"L")+COUNTIF(D20:AH20,"T")+COUNTIF(D20:AH20,"1/LT")/2</f>
        <v>0</v>
      </c>
      <c r="AL20" s="412">
        <f>SUM(D21:AH21)</f>
        <v>0</v>
      </c>
      <c r="AM20" s="411">
        <f>COUNTIF(D20:AH20,"F1")+COUNTIF(D20:AH20,"1/F1")/2</f>
        <v>0</v>
      </c>
      <c r="AN20" s="411">
        <f>COUNTIF(D20:AH20,"F")+COUNTIF(D20:AH20,"1/lt")/2</f>
        <v>0</v>
      </c>
      <c r="AO20" s="413">
        <f>COUNTIF(D20:AH20,"X")+COUNTIF(D20:AH20,"1/2")/2+COUNTIF(D20:AH20,"1/p")/2+COUNTIF(D20:AH20,"ĐH")</f>
        <v>31</v>
      </c>
      <c r="AP20" s="527"/>
    </row>
    <row r="21" spans="1:42" s="414" customFormat="1" ht="18.75" customHeight="1">
      <c r="A21" s="528"/>
      <c r="B21" s="533"/>
      <c r="C21" s="542"/>
      <c r="D21" s="442"/>
      <c r="E21" s="427"/>
      <c r="F21" s="427"/>
      <c r="G21" s="427"/>
      <c r="H21" s="427"/>
      <c r="I21" s="427"/>
      <c r="J21" s="454"/>
      <c r="K21" s="427"/>
      <c r="L21" s="427"/>
      <c r="M21" s="427"/>
      <c r="N21" s="427"/>
      <c r="O21" s="427"/>
      <c r="P21" s="427"/>
      <c r="Q21" s="454"/>
      <c r="R21" s="427"/>
      <c r="S21" s="427"/>
      <c r="T21" s="427"/>
      <c r="U21" s="427"/>
      <c r="V21" s="427"/>
      <c r="W21" s="427"/>
      <c r="X21" s="454"/>
      <c r="Y21" s="427"/>
      <c r="Z21" s="427"/>
      <c r="AA21" s="427"/>
      <c r="AB21" s="427"/>
      <c r="AC21" s="427"/>
      <c r="AD21" s="427"/>
      <c r="AE21" s="454"/>
      <c r="AF21" s="427"/>
      <c r="AG21" s="427"/>
      <c r="AH21" s="422"/>
      <c r="AI21" s="411"/>
      <c r="AJ21" s="411"/>
      <c r="AK21" s="411"/>
      <c r="AL21" s="412"/>
      <c r="AM21" s="411"/>
      <c r="AN21" s="411"/>
      <c r="AO21" s="413"/>
      <c r="AP21" s="528"/>
    </row>
    <row r="22" spans="1:42" ht="18.75" customHeight="1">
      <c r="A22" s="527">
        <f>A20+1</f>
        <v>7</v>
      </c>
      <c r="B22" s="568" t="s">
        <v>326</v>
      </c>
      <c r="C22" s="541" t="s">
        <v>276</v>
      </c>
      <c r="D22" s="421" t="s">
        <v>224</v>
      </c>
      <c r="E22" s="421" t="s">
        <v>224</v>
      </c>
      <c r="F22" s="421" t="s">
        <v>224</v>
      </c>
      <c r="G22" s="421" t="s">
        <v>224</v>
      </c>
      <c r="H22" s="421" t="s">
        <v>224</v>
      </c>
      <c r="I22" s="421" t="s">
        <v>224</v>
      </c>
      <c r="J22" s="428" t="s">
        <v>224</v>
      </c>
      <c r="K22" s="421" t="s">
        <v>224</v>
      </c>
      <c r="L22" s="421" t="s">
        <v>224</v>
      </c>
      <c r="M22" s="421" t="s">
        <v>224</v>
      </c>
      <c r="N22" s="421" t="s">
        <v>224</v>
      </c>
      <c r="O22" s="421" t="s">
        <v>224</v>
      </c>
      <c r="P22" s="421" t="s">
        <v>224</v>
      </c>
      <c r="Q22" s="428" t="s">
        <v>224</v>
      </c>
      <c r="R22" s="421" t="s">
        <v>224</v>
      </c>
      <c r="S22" s="421" t="s">
        <v>224</v>
      </c>
      <c r="T22" s="421" t="s">
        <v>224</v>
      </c>
      <c r="U22" s="421" t="s">
        <v>224</v>
      </c>
      <c r="V22" s="421" t="s">
        <v>224</v>
      </c>
      <c r="W22" s="421" t="s">
        <v>224</v>
      </c>
      <c r="X22" s="453" t="s">
        <v>224</v>
      </c>
      <c r="Y22" s="421" t="s">
        <v>224</v>
      </c>
      <c r="Z22" s="421" t="s">
        <v>224</v>
      </c>
      <c r="AA22" s="421" t="s">
        <v>224</v>
      </c>
      <c r="AB22" s="421" t="s">
        <v>224</v>
      </c>
      <c r="AC22" s="421" t="s">
        <v>224</v>
      </c>
      <c r="AD22" s="421" t="s">
        <v>224</v>
      </c>
      <c r="AE22" s="453" t="s">
        <v>224</v>
      </c>
      <c r="AF22" s="421" t="s">
        <v>224</v>
      </c>
      <c r="AG22" s="421" t="s">
        <v>224</v>
      </c>
      <c r="AH22" s="422" t="s">
        <v>224</v>
      </c>
      <c r="AI22" s="411">
        <f>COUNTIF(D22:AH22,"p")+COUNTIF(D22:AH22,"1/p")/2+COUNTIF(D22:AH22,"CĐ")</f>
        <v>0</v>
      </c>
      <c r="AJ22" s="411">
        <f>COUNTIF(D22:AH22,"Ô")+COUNTIF(D22:AH22,"R")+COUNTIF(D22:AH22,"1/2")/2+COUNTIF(D22:AH22,"Ts")</f>
        <v>0</v>
      </c>
      <c r="AK22" s="411">
        <f>COUNTIF(D22:AH22,"Nb")+COUNTIF(D22:AH22,"L")+COUNTIF(D22:AH22,"T")+COUNTIF(D22:AH22,"1/LT")/2</f>
        <v>0</v>
      </c>
      <c r="AL22" s="412">
        <f>SUM(D23:AH23)</f>
        <v>0</v>
      </c>
      <c r="AM22" s="411">
        <f>COUNTIF(D22:AH22,"F1")+COUNTIF(D22:AH22,"1/F1")/2</f>
        <v>0</v>
      </c>
      <c r="AN22" s="411">
        <f>COUNTIF(D22:AH22,"F")+COUNTIF(D22:AH22,"1/lt")/2</f>
        <v>0</v>
      </c>
      <c r="AO22" s="413">
        <f>COUNTIF(D22:AH22,"X")+COUNTIF(D22:AH22,"1/2")/2+COUNTIF(D22:AH22,"1/p")/2+COUNTIF(D22:AH22,"ĐH")</f>
        <v>31</v>
      </c>
      <c r="AP22" s="570"/>
    </row>
    <row r="23" spans="1:42" ht="18.75" customHeight="1">
      <c r="A23" s="528"/>
      <c r="B23" s="569"/>
      <c r="C23" s="542"/>
      <c r="D23" s="421"/>
      <c r="E23" s="421"/>
      <c r="F23" s="421"/>
      <c r="G23" s="421"/>
      <c r="H23" s="421"/>
      <c r="I23" s="421"/>
      <c r="J23" s="428"/>
      <c r="K23" s="421"/>
      <c r="L23" s="421"/>
      <c r="M23" s="421"/>
      <c r="N23" s="421"/>
      <c r="O23" s="421"/>
      <c r="P23" s="421"/>
      <c r="Q23" s="428"/>
      <c r="R23" s="421"/>
      <c r="S23" s="421"/>
      <c r="T23" s="421"/>
      <c r="U23" s="421"/>
      <c r="V23" s="421"/>
      <c r="W23" s="421"/>
      <c r="X23" s="457"/>
      <c r="Y23" s="430"/>
      <c r="Z23" s="430"/>
      <c r="AA23" s="431"/>
      <c r="AB23" s="430"/>
      <c r="AC23" s="430"/>
      <c r="AD23" s="431"/>
      <c r="AE23" s="456"/>
      <c r="AF23" s="431"/>
      <c r="AG23" s="431"/>
      <c r="AH23" s="431"/>
      <c r="AI23" s="411"/>
      <c r="AJ23" s="411"/>
      <c r="AK23" s="443"/>
      <c r="AL23" s="412"/>
      <c r="AM23" s="443"/>
      <c r="AN23" s="443"/>
      <c r="AO23" s="438"/>
      <c r="AP23" s="570"/>
    </row>
    <row r="24" spans="1:42" ht="18.75" customHeight="1">
      <c r="A24" s="527">
        <f>A22+1</f>
        <v>8</v>
      </c>
      <c r="B24" s="568" t="s">
        <v>301</v>
      </c>
      <c r="C24" s="541" t="s">
        <v>276</v>
      </c>
      <c r="D24" s="421" t="s">
        <v>224</v>
      </c>
      <c r="E24" s="421" t="s">
        <v>224</v>
      </c>
      <c r="F24" s="421" t="s">
        <v>224</v>
      </c>
      <c r="G24" s="421" t="s">
        <v>224</v>
      </c>
      <c r="H24" s="421" t="s">
        <v>224</v>
      </c>
      <c r="I24" s="421" t="s">
        <v>224</v>
      </c>
      <c r="J24" s="428" t="s">
        <v>224</v>
      </c>
      <c r="K24" s="421" t="s">
        <v>224</v>
      </c>
      <c r="L24" s="421" t="s">
        <v>224</v>
      </c>
      <c r="M24" s="421" t="s">
        <v>224</v>
      </c>
      <c r="N24" s="421" t="s">
        <v>224</v>
      </c>
      <c r="O24" s="421" t="s">
        <v>224</v>
      </c>
      <c r="P24" s="421" t="s">
        <v>224</v>
      </c>
      <c r="Q24" s="428" t="s">
        <v>224</v>
      </c>
      <c r="R24" s="421" t="s">
        <v>224</v>
      </c>
      <c r="S24" s="421" t="s">
        <v>224</v>
      </c>
      <c r="T24" s="421" t="s">
        <v>224</v>
      </c>
      <c r="U24" s="421" t="s">
        <v>224</v>
      </c>
      <c r="V24" s="421" t="s">
        <v>224</v>
      </c>
      <c r="W24" s="421" t="s">
        <v>224</v>
      </c>
      <c r="X24" s="453" t="s">
        <v>224</v>
      </c>
      <c r="Y24" s="421" t="s">
        <v>224</v>
      </c>
      <c r="Z24" s="421" t="s">
        <v>224</v>
      </c>
      <c r="AA24" s="421" t="s">
        <v>224</v>
      </c>
      <c r="AB24" s="421" t="s">
        <v>224</v>
      </c>
      <c r="AC24" s="421" t="s">
        <v>224</v>
      </c>
      <c r="AD24" s="421" t="s">
        <v>224</v>
      </c>
      <c r="AE24" s="453" t="s">
        <v>224</v>
      </c>
      <c r="AF24" s="421" t="s">
        <v>224</v>
      </c>
      <c r="AG24" s="421" t="s">
        <v>224</v>
      </c>
      <c r="AH24" s="422" t="s">
        <v>224</v>
      </c>
      <c r="AI24" s="411">
        <f>COUNTIF(D24:AH24,"p")+COUNTIF(D24:AH24,"1/p")/2+COUNTIF(D24:AH24,"CĐ")</f>
        <v>0</v>
      </c>
      <c r="AJ24" s="411">
        <f>COUNTIF(D24:AH24,"Ô")+COUNTIF(D24:AH24,"R")+COUNTIF(D24:AH24,"1/2")/2+COUNTIF(D24:AH24,"Ts")</f>
        <v>0</v>
      </c>
      <c r="AK24" s="411">
        <f>COUNTIF(D24:AH24,"Nb")+COUNTIF(D24:AH24,"L")+COUNTIF(D24:AH24,"T")+COUNTIF(D24:AH24,"1/LT")/2</f>
        <v>0</v>
      </c>
      <c r="AL24" s="412">
        <f>SUM(D25:AH25)</f>
        <v>0</v>
      </c>
      <c r="AM24" s="411">
        <f>COUNTIF(D24:AH24,"F1")+COUNTIF(D24:AH24,"1/F1")/2</f>
        <v>0</v>
      </c>
      <c r="AN24" s="411">
        <f>COUNTIF(D24:AH24,"F")+COUNTIF(D24:AH24,"1/lt")/2</f>
        <v>0</v>
      </c>
      <c r="AO24" s="413">
        <f>COUNTIF(D24:AH24,"X")+COUNTIF(D24:AH24,"1/2")/2+COUNTIF(D24:AH24,"1/p")/2+COUNTIF(D24:AH24,"ĐH")</f>
        <v>31</v>
      </c>
      <c r="AP24" s="570"/>
    </row>
    <row r="25" spans="1:42" ht="18.75" customHeight="1">
      <c r="A25" s="528"/>
      <c r="B25" s="569"/>
      <c r="C25" s="542"/>
      <c r="D25" s="446"/>
      <c r="E25" s="431"/>
      <c r="F25" s="430"/>
      <c r="G25" s="430"/>
      <c r="H25" s="430"/>
      <c r="I25" s="430"/>
      <c r="J25" s="457"/>
      <c r="K25" s="430"/>
      <c r="L25" s="430"/>
      <c r="M25" s="431"/>
      <c r="N25" s="431"/>
      <c r="O25" s="431"/>
      <c r="P25" s="431"/>
      <c r="Q25" s="456"/>
      <c r="R25" s="431"/>
      <c r="S25" s="431"/>
      <c r="T25" s="431"/>
      <c r="U25" s="431"/>
      <c r="V25" s="431"/>
      <c r="W25" s="431"/>
      <c r="X25" s="457"/>
      <c r="Y25" s="430"/>
      <c r="Z25" s="430"/>
      <c r="AA25" s="431"/>
      <c r="AB25" s="430"/>
      <c r="AC25" s="430"/>
      <c r="AD25" s="431"/>
      <c r="AE25" s="456"/>
      <c r="AF25" s="431"/>
      <c r="AG25" s="431"/>
      <c r="AH25" s="431"/>
      <c r="AI25" s="411"/>
      <c r="AJ25" s="411"/>
      <c r="AK25" s="443"/>
      <c r="AL25" s="412"/>
      <c r="AM25" s="443"/>
      <c r="AN25" s="443"/>
      <c r="AO25" s="438"/>
      <c r="AP25" s="570"/>
    </row>
    <row r="26" spans="1:42" ht="18.75" customHeight="1">
      <c r="A26" s="527">
        <f>A24+1</f>
        <v>9</v>
      </c>
      <c r="B26" s="568" t="s">
        <v>303</v>
      </c>
      <c r="C26" s="541" t="s">
        <v>276</v>
      </c>
      <c r="D26" s="421" t="s">
        <v>224</v>
      </c>
      <c r="E26" s="421" t="s">
        <v>224</v>
      </c>
      <c r="F26" s="421" t="s">
        <v>224</v>
      </c>
      <c r="G26" s="421" t="s">
        <v>224</v>
      </c>
      <c r="H26" s="421" t="s">
        <v>224</v>
      </c>
      <c r="I26" s="421" t="s">
        <v>224</v>
      </c>
      <c r="J26" s="428" t="s">
        <v>224</v>
      </c>
      <c r="K26" s="421" t="s">
        <v>224</v>
      </c>
      <c r="L26" s="421" t="s">
        <v>224</v>
      </c>
      <c r="M26" s="421" t="s">
        <v>224</v>
      </c>
      <c r="N26" s="421" t="s">
        <v>224</v>
      </c>
      <c r="O26" s="421" t="s">
        <v>224</v>
      </c>
      <c r="P26" s="421" t="s">
        <v>224</v>
      </c>
      <c r="Q26" s="428" t="s">
        <v>224</v>
      </c>
      <c r="R26" s="421" t="s">
        <v>224</v>
      </c>
      <c r="S26" s="421" t="s">
        <v>224</v>
      </c>
      <c r="T26" s="421" t="s">
        <v>224</v>
      </c>
      <c r="U26" s="421" t="s">
        <v>224</v>
      </c>
      <c r="V26" s="421" t="s">
        <v>224</v>
      </c>
      <c r="W26" s="421" t="s">
        <v>224</v>
      </c>
      <c r="X26" s="453" t="s">
        <v>224</v>
      </c>
      <c r="Y26" s="421" t="s">
        <v>224</v>
      </c>
      <c r="Z26" s="421" t="s">
        <v>224</v>
      </c>
      <c r="AA26" s="421" t="s">
        <v>224</v>
      </c>
      <c r="AB26" s="421" t="s">
        <v>224</v>
      </c>
      <c r="AC26" s="421" t="s">
        <v>224</v>
      </c>
      <c r="AD26" s="421" t="s">
        <v>224</v>
      </c>
      <c r="AE26" s="453" t="s">
        <v>224</v>
      </c>
      <c r="AF26" s="421" t="s">
        <v>224</v>
      </c>
      <c r="AG26" s="421" t="s">
        <v>224</v>
      </c>
      <c r="AH26" s="422" t="s">
        <v>224</v>
      </c>
      <c r="AI26" s="411">
        <f>COUNTIF(D26:AH26,"p")+COUNTIF(D26:AH26,"1/p")/2+COUNTIF(D26:AH26,"CĐ")</f>
        <v>0</v>
      </c>
      <c r="AJ26" s="411">
        <f>COUNTIF(D26:AH26,"Ô")+COUNTIF(D26:AH26,"R")+COUNTIF(D26:AH26,"1/2")/2+COUNTIF(D26:AH26,"Ts")</f>
        <v>0</v>
      </c>
      <c r="AK26" s="411">
        <f>COUNTIF(D26:AH26,"Nb")+COUNTIF(D26:AH26,"L")+COUNTIF(D26:AH26,"T")+COUNTIF(D26:AH26,"1/LT")/2</f>
        <v>0</v>
      </c>
      <c r="AL26" s="412">
        <f>SUM(D27:AH27)</f>
        <v>0</v>
      </c>
      <c r="AM26" s="411">
        <f>COUNTIF(D26:AH26,"F1")+COUNTIF(D26:AH26,"1/F1")/2</f>
        <v>0</v>
      </c>
      <c r="AN26" s="411">
        <f>COUNTIF(D26:AH26,"F")+COUNTIF(D26:AH26,"1/lt")/2</f>
        <v>0</v>
      </c>
      <c r="AO26" s="413">
        <f>COUNTIF(D26:AH26,"X")+COUNTIF(D26:AH26,"1/2")/2+COUNTIF(D26:AH26,"1/p")/2+COUNTIF(D26:AH26,"ĐH")</f>
        <v>31</v>
      </c>
      <c r="AP26" s="570"/>
    </row>
    <row r="27" spans="1:42" ht="18.75" customHeight="1">
      <c r="A27" s="528"/>
      <c r="B27" s="569"/>
      <c r="C27" s="542"/>
      <c r="D27" s="446"/>
      <c r="E27" s="430"/>
      <c r="F27" s="430"/>
      <c r="G27" s="430"/>
      <c r="H27" s="430"/>
      <c r="I27" s="431"/>
      <c r="J27" s="457"/>
      <c r="K27" s="430"/>
      <c r="L27" s="430"/>
      <c r="M27" s="430"/>
      <c r="N27" s="430"/>
      <c r="O27" s="431"/>
      <c r="P27" s="431"/>
      <c r="Q27" s="456"/>
      <c r="R27" s="431"/>
      <c r="S27" s="431"/>
      <c r="T27" s="431"/>
      <c r="U27" s="431"/>
      <c r="V27" s="431"/>
      <c r="W27" s="430"/>
      <c r="X27" s="457"/>
      <c r="Y27" s="431"/>
      <c r="Z27" s="430"/>
      <c r="AA27" s="430"/>
      <c r="AB27" s="430"/>
      <c r="AC27" s="431"/>
      <c r="AD27" s="431"/>
      <c r="AE27" s="456"/>
      <c r="AF27" s="431"/>
      <c r="AG27" s="431"/>
      <c r="AH27" s="430"/>
      <c r="AI27" s="411"/>
      <c r="AJ27" s="411"/>
      <c r="AK27" s="443"/>
      <c r="AL27" s="412"/>
      <c r="AM27" s="443"/>
      <c r="AN27" s="443"/>
      <c r="AO27" s="438"/>
      <c r="AP27" s="570"/>
    </row>
    <row r="28" spans="1:42" s="414" customFormat="1" ht="18.75" customHeight="1">
      <c r="A28" s="527">
        <f t="shared" ref="A28:A36" si="2">A26+1</f>
        <v>10</v>
      </c>
      <c r="B28" s="564" t="s">
        <v>278</v>
      </c>
      <c r="C28" s="541" t="s">
        <v>279</v>
      </c>
      <c r="D28" s="421" t="s">
        <v>224</v>
      </c>
      <c r="E28" s="421" t="s">
        <v>224</v>
      </c>
      <c r="F28" s="421" t="s">
        <v>224</v>
      </c>
      <c r="G28" s="421" t="s">
        <v>224</v>
      </c>
      <c r="H28" s="421" t="s">
        <v>224</v>
      </c>
      <c r="I28" s="421" t="s">
        <v>224</v>
      </c>
      <c r="J28" s="453" t="s">
        <v>242</v>
      </c>
      <c r="K28" s="421" t="s">
        <v>224</v>
      </c>
      <c r="L28" s="421" t="s">
        <v>224</v>
      </c>
      <c r="M28" s="421" t="s">
        <v>224</v>
      </c>
      <c r="N28" s="421" t="s">
        <v>224</v>
      </c>
      <c r="O28" s="421" t="s">
        <v>224</v>
      </c>
      <c r="P28" s="421" t="s">
        <v>224</v>
      </c>
      <c r="Q28" s="453" t="s">
        <v>242</v>
      </c>
      <c r="R28" s="421" t="s">
        <v>224</v>
      </c>
      <c r="S28" s="421" t="s">
        <v>224</v>
      </c>
      <c r="T28" s="421" t="s">
        <v>224</v>
      </c>
      <c r="U28" s="421" t="s">
        <v>224</v>
      </c>
      <c r="V28" s="421" t="s">
        <v>224</v>
      </c>
      <c r="W28" s="421" t="s">
        <v>224</v>
      </c>
      <c r="X28" s="453" t="s">
        <v>242</v>
      </c>
      <c r="Y28" s="421" t="s">
        <v>224</v>
      </c>
      <c r="Z28" s="421" t="s">
        <v>224</v>
      </c>
      <c r="AA28" s="421" t="s">
        <v>224</v>
      </c>
      <c r="AB28" s="421" t="s">
        <v>224</v>
      </c>
      <c r="AC28" s="421" t="s">
        <v>224</v>
      </c>
      <c r="AD28" s="421" t="s">
        <v>224</v>
      </c>
      <c r="AE28" s="453" t="s">
        <v>242</v>
      </c>
      <c r="AF28" s="421" t="s">
        <v>224</v>
      </c>
      <c r="AG28" s="421" t="s">
        <v>224</v>
      </c>
      <c r="AH28" s="422" t="s">
        <v>224</v>
      </c>
      <c r="AI28" s="411">
        <f>COUNTIF(D28:AH28,"p")+COUNTIF(D28:AH28,"1/p")/2+COUNTIF(D28:AH28,"CĐ")</f>
        <v>0</v>
      </c>
      <c r="AJ28" s="411">
        <f>COUNTIF(D28:AH28,"Ô")+COUNTIF(D28:AH28,"R")+COUNTIF(D28:AH28,"1/2")/2+COUNTIF(D28:AH28,"Ts")</f>
        <v>0</v>
      </c>
      <c r="AK28" s="411">
        <f>COUNTIF(D28:AH28,"Nb")+COUNTIF(D28:AH28,"L")+COUNTIF(D28:AH28,"T")+COUNTIF(D28:AH28,"1/LT")/2</f>
        <v>0</v>
      </c>
      <c r="AL28" s="412">
        <f>SUM(D29:AH29)</f>
        <v>0</v>
      </c>
      <c r="AM28" s="411">
        <f>COUNTIF(D28:AH28,"F1")+COUNTIF(D28:AH28,"1/F1")/2</f>
        <v>0</v>
      </c>
      <c r="AN28" s="411">
        <f>COUNTIF(D28:AH28,"F")+COUNTIF(D28:AH28,"1/lt")/2</f>
        <v>0</v>
      </c>
      <c r="AO28" s="413">
        <f>COUNTIF(D28:AH28,"X")+COUNTIF(D28:AH28,"1/2")/2+COUNTIF(D28:AH28,"1/p")/2+COUNTIF(D28:AH28,"ĐH")</f>
        <v>27</v>
      </c>
      <c r="AP28" s="534"/>
    </row>
    <row r="29" spans="1:42" s="414" customFormat="1" ht="18.75" customHeight="1">
      <c r="A29" s="528"/>
      <c r="B29" s="564"/>
      <c r="C29" s="542"/>
      <c r="D29" s="442"/>
      <c r="E29" s="427"/>
      <c r="F29" s="427"/>
      <c r="G29" s="427"/>
      <c r="H29" s="427"/>
      <c r="I29" s="427"/>
      <c r="J29" s="454"/>
      <c r="K29" s="427"/>
      <c r="L29" s="427"/>
      <c r="M29" s="427"/>
      <c r="N29" s="427"/>
      <c r="O29" s="427"/>
      <c r="P29" s="427"/>
      <c r="Q29" s="454"/>
      <c r="R29" s="427"/>
      <c r="S29" s="427"/>
      <c r="T29" s="427"/>
      <c r="U29" s="427"/>
      <c r="V29" s="427"/>
      <c r="W29" s="427"/>
      <c r="X29" s="454"/>
      <c r="Y29" s="427"/>
      <c r="Z29" s="427"/>
      <c r="AA29" s="427"/>
      <c r="AB29" s="427"/>
      <c r="AC29" s="427"/>
      <c r="AD29" s="427"/>
      <c r="AE29" s="454"/>
      <c r="AF29" s="427"/>
      <c r="AG29" s="427"/>
      <c r="AH29" s="422"/>
      <c r="AI29" s="411"/>
      <c r="AJ29" s="411"/>
      <c r="AK29" s="411"/>
      <c r="AL29" s="412"/>
      <c r="AM29" s="411"/>
      <c r="AN29" s="411"/>
      <c r="AO29" s="413"/>
      <c r="AP29" s="535"/>
    </row>
    <row r="30" spans="1:42" s="414" customFormat="1" ht="19.5" customHeight="1">
      <c r="A30" s="527">
        <f>A36+1</f>
        <v>14</v>
      </c>
      <c r="B30" s="539" t="s">
        <v>298</v>
      </c>
      <c r="C30" s="501" t="s">
        <v>300</v>
      </c>
      <c r="D30" s="421" t="s">
        <v>224</v>
      </c>
      <c r="E30" s="421" t="s">
        <v>224</v>
      </c>
      <c r="F30" s="421" t="s">
        <v>224</v>
      </c>
      <c r="G30" s="421" t="s">
        <v>224</v>
      </c>
      <c r="H30" s="421" t="s">
        <v>224</v>
      </c>
      <c r="I30" s="421" t="s">
        <v>224</v>
      </c>
      <c r="J30" s="428" t="s">
        <v>224</v>
      </c>
      <c r="K30" s="421" t="s">
        <v>224</v>
      </c>
      <c r="L30" s="421" t="s">
        <v>224</v>
      </c>
      <c r="M30" s="421" t="s">
        <v>224</v>
      </c>
      <c r="N30" s="421" t="s">
        <v>224</v>
      </c>
      <c r="O30" s="421" t="s">
        <v>224</v>
      </c>
      <c r="P30" s="421" t="s">
        <v>224</v>
      </c>
      <c r="Q30" s="428" t="s">
        <v>224</v>
      </c>
      <c r="R30" s="421" t="s">
        <v>224</v>
      </c>
      <c r="S30" s="421" t="s">
        <v>224</v>
      </c>
      <c r="T30" s="421" t="s">
        <v>224</v>
      </c>
      <c r="U30" s="421" t="s">
        <v>224</v>
      </c>
      <c r="V30" s="421" t="s">
        <v>224</v>
      </c>
      <c r="W30" s="421" t="s">
        <v>224</v>
      </c>
      <c r="X30" s="453" t="s">
        <v>224</v>
      </c>
      <c r="Y30" s="421" t="s">
        <v>224</v>
      </c>
      <c r="Z30" s="421" t="s">
        <v>224</v>
      </c>
      <c r="AA30" s="421" t="s">
        <v>224</v>
      </c>
      <c r="AB30" s="421" t="s">
        <v>224</v>
      </c>
      <c r="AC30" s="421" t="s">
        <v>224</v>
      </c>
      <c r="AD30" s="421" t="s">
        <v>224</v>
      </c>
      <c r="AE30" s="453" t="s">
        <v>224</v>
      </c>
      <c r="AF30" s="421" t="s">
        <v>224</v>
      </c>
      <c r="AG30" s="421" t="s">
        <v>224</v>
      </c>
      <c r="AH30" s="422" t="s">
        <v>224</v>
      </c>
      <c r="AI30" s="411">
        <f>COUNTIF(D30:AH30,"p")+COUNTIF(D30:AH30,"1/p")/2+COUNTIF(D30:AH30,"CĐ")</f>
        <v>0</v>
      </c>
      <c r="AJ30" s="411">
        <f>COUNTIF(D30:AH30,"Ô")+COUNTIF(D30:AH30,"R")+COUNTIF(D30:AH30,"1/2")/2+COUNTIF(D30:AH30,"Ts")</f>
        <v>0</v>
      </c>
      <c r="AK30" s="411">
        <f>COUNTIF(D30:AH30,"Nb")+COUNTIF(D30:AH30,"L")+COUNTIF(D30:AH30,"T")+COUNTIF(D30:AH30,"1/LT")/2</f>
        <v>0</v>
      </c>
      <c r="AL30" s="412">
        <f>SUM(D31:AH31)</f>
        <v>0</v>
      </c>
      <c r="AM30" s="411">
        <f>COUNTIF(D30:AH30,"F1")+COUNTIF(D30:AH30,"1/F1")/2</f>
        <v>0</v>
      </c>
      <c r="AN30" s="411">
        <f>COUNTIF(D30:AH30,"F")+COUNTIF(D30:AH30,"1/lt")/2</f>
        <v>0</v>
      </c>
      <c r="AO30" s="413">
        <f>COUNTIF(D30:AH30,"X")+COUNTIF(D30:AH30,"1/2")/2+COUNTIF(D30:AH30,"1/p")/2+COUNTIF(D30:AH30,"ĐH")</f>
        <v>31</v>
      </c>
      <c r="AP30" s="527"/>
    </row>
    <row r="31" spans="1:42" s="414" customFormat="1" ht="19.5" customHeight="1">
      <c r="A31" s="528"/>
      <c r="B31" s="540"/>
      <c r="C31" s="503"/>
      <c r="D31" s="421"/>
      <c r="E31" s="421"/>
      <c r="F31" s="421"/>
      <c r="G31" s="421"/>
      <c r="H31" s="421"/>
      <c r="I31" s="421"/>
      <c r="J31" s="453"/>
      <c r="K31" s="421"/>
      <c r="L31" s="421"/>
      <c r="M31" s="421"/>
      <c r="N31" s="421"/>
      <c r="O31" s="421"/>
      <c r="P31" s="421"/>
      <c r="Q31" s="453"/>
      <c r="R31" s="421"/>
      <c r="S31" s="421"/>
      <c r="T31" s="421"/>
      <c r="U31" s="421"/>
      <c r="V31" s="421"/>
      <c r="W31" s="421"/>
      <c r="X31" s="453"/>
      <c r="Y31" s="421"/>
      <c r="Z31" s="421"/>
      <c r="AA31" s="421"/>
      <c r="AB31" s="421"/>
      <c r="AC31" s="421"/>
      <c r="AD31" s="421"/>
      <c r="AE31" s="453"/>
      <c r="AF31" s="421"/>
      <c r="AG31" s="421"/>
      <c r="AH31" s="421"/>
      <c r="AI31" s="411"/>
      <c r="AJ31" s="411"/>
      <c r="AK31" s="411"/>
      <c r="AL31" s="412"/>
      <c r="AM31" s="411"/>
      <c r="AN31" s="411"/>
      <c r="AO31" s="413"/>
      <c r="AP31" s="528"/>
    </row>
    <row r="32" spans="1:42" s="414" customFormat="1" ht="18.75" customHeight="1">
      <c r="A32" s="527">
        <f>A28+1</f>
        <v>11</v>
      </c>
      <c r="B32" s="532" t="s">
        <v>330</v>
      </c>
      <c r="C32" s="541" t="s">
        <v>287</v>
      </c>
      <c r="D32" s="421" t="s">
        <v>224</v>
      </c>
      <c r="E32" s="421" t="s">
        <v>224</v>
      </c>
      <c r="F32" s="421"/>
      <c r="G32" s="421" t="s">
        <v>224</v>
      </c>
      <c r="H32" s="421" t="s">
        <v>224</v>
      </c>
      <c r="I32" s="421" t="s">
        <v>224</v>
      </c>
      <c r="J32" s="428" t="s">
        <v>224</v>
      </c>
      <c r="K32" s="421" t="s">
        <v>224</v>
      </c>
      <c r="L32" s="421" t="s">
        <v>224</v>
      </c>
      <c r="M32" s="421"/>
      <c r="N32" s="421" t="s">
        <v>224</v>
      </c>
      <c r="O32" s="421" t="s">
        <v>224</v>
      </c>
      <c r="P32" s="421" t="s">
        <v>224</v>
      </c>
      <c r="Q32" s="428" t="s">
        <v>224</v>
      </c>
      <c r="R32" s="421" t="s">
        <v>224</v>
      </c>
      <c r="S32" s="421" t="s">
        <v>224</v>
      </c>
      <c r="T32" s="421"/>
      <c r="U32" s="421" t="s">
        <v>224</v>
      </c>
      <c r="V32" s="421" t="s">
        <v>224</v>
      </c>
      <c r="W32" s="421" t="s">
        <v>224</v>
      </c>
      <c r="X32" s="453" t="s">
        <v>224</v>
      </c>
      <c r="Y32" s="421" t="s">
        <v>224</v>
      </c>
      <c r="Z32" s="421" t="s">
        <v>224</v>
      </c>
      <c r="AA32" s="421"/>
      <c r="AB32" s="421" t="s">
        <v>224</v>
      </c>
      <c r="AC32" s="421" t="s">
        <v>224</v>
      </c>
      <c r="AD32" s="421" t="s">
        <v>224</v>
      </c>
      <c r="AE32" s="453" t="s">
        <v>224</v>
      </c>
      <c r="AF32" s="421" t="s">
        <v>224</v>
      </c>
      <c r="AG32" s="421" t="s">
        <v>224</v>
      </c>
      <c r="AH32" s="422"/>
      <c r="AI32" s="411">
        <f>COUNTIF(D32:AH32,"p")+COUNTIF(D32:AH32,"1/p")/2+COUNTIF(D32:AH32,"CĐ")</f>
        <v>0</v>
      </c>
      <c r="AJ32" s="411">
        <f>COUNTIF(D32:AH32,"Ô")+COUNTIF(D32:AH32,"R")+COUNTIF(D32:AH32,"1/2")/2+COUNTIF(D32:AH32,"Ts")</f>
        <v>0</v>
      </c>
      <c r="AK32" s="411">
        <f>COUNTIF(D32:AH32,"Nb")+COUNTIF(D32:AH32,"L")+COUNTIF(D32:AH32,"T")+COUNTIF(D32:AH32,"1/LT")/2</f>
        <v>0</v>
      </c>
      <c r="AL32" s="412">
        <f>SUM(D33:AH33)</f>
        <v>0</v>
      </c>
      <c r="AM32" s="411">
        <f>COUNTIF(D32:AH32,"F1")+COUNTIF(D32:AH32,"1/F1")/2</f>
        <v>0</v>
      </c>
      <c r="AN32" s="411">
        <f>COUNTIF(D32:AH32,"F")+COUNTIF(D32:AH32,"1/lt")/2</f>
        <v>0</v>
      </c>
      <c r="AO32" s="413">
        <f>COUNTIF(D32:AH32,"X")+COUNTIF(D32:AH32,"1/2")/2+COUNTIF(D32:AH32,"1/p")/2+COUNTIF(D32:AH32,"ĐH")</f>
        <v>26</v>
      </c>
      <c r="AP32" s="534"/>
    </row>
    <row r="33" spans="1:42" s="414" customFormat="1" ht="18.75" customHeight="1">
      <c r="A33" s="528"/>
      <c r="B33" s="533"/>
      <c r="C33" s="542"/>
      <c r="D33" s="442"/>
      <c r="E33" s="427"/>
      <c r="F33" s="427"/>
      <c r="G33" s="427"/>
      <c r="H33" s="427"/>
      <c r="I33" s="427"/>
      <c r="J33" s="454"/>
      <c r="K33" s="427"/>
      <c r="L33" s="427"/>
      <c r="M33" s="427"/>
      <c r="N33" s="427"/>
      <c r="O33" s="427"/>
      <c r="P33" s="427"/>
      <c r="Q33" s="454"/>
      <c r="R33" s="427"/>
      <c r="S33" s="427"/>
      <c r="T33" s="427"/>
      <c r="U33" s="427"/>
      <c r="V33" s="427"/>
      <c r="W33" s="427"/>
      <c r="X33" s="454"/>
      <c r="Y33" s="427"/>
      <c r="Z33" s="427"/>
      <c r="AA33" s="427"/>
      <c r="AB33" s="427"/>
      <c r="AC33" s="427"/>
      <c r="AD33" s="427"/>
      <c r="AE33" s="454"/>
      <c r="AF33" s="427"/>
      <c r="AG33" s="427"/>
      <c r="AH33" s="422"/>
      <c r="AI33" s="411"/>
      <c r="AJ33" s="411"/>
      <c r="AK33" s="411"/>
      <c r="AL33" s="412"/>
      <c r="AM33" s="411"/>
      <c r="AN33" s="411"/>
      <c r="AO33" s="413"/>
      <c r="AP33" s="535"/>
    </row>
    <row r="34" spans="1:42" s="414" customFormat="1" ht="18.75" customHeight="1">
      <c r="A34" s="527">
        <f t="shared" si="2"/>
        <v>12</v>
      </c>
      <c r="B34" s="532" t="s">
        <v>294</v>
      </c>
      <c r="C34" s="541" t="s">
        <v>287</v>
      </c>
      <c r="D34" s="421" t="s">
        <v>224</v>
      </c>
      <c r="E34" s="421" t="s">
        <v>224</v>
      </c>
      <c r="F34" s="421" t="s">
        <v>224</v>
      </c>
      <c r="G34" s="421" t="s">
        <v>224</v>
      </c>
      <c r="H34" s="421" t="s">
        <v>224</v>
      </c>
      <c r="I34" s="421" t="s">
        <v>224</v>
      </c>
      <c r="J34" s="428" t="s">
        <v>224</v>
      </c>
      <c r="K34" s="421" t="s">
        <v>224</v>
      </c>
      <c r="L34" s="421" t="s">
        <v>224</v>
      </c>
      <c r="M34" s="421" t="s">
        <v>224</v>
      </c>
      <c r="N34" s="421" t="s">
        <v>224</v>
      </c>
      <c r="O34" s="421" t="s">
        <v>224</v>
      </c>
      <c r="P34" s="421" t="s">
        <v>224</v>
      </c>
      <c r="Q34" s="428" t="s">
        <v>224</v>
      </c>
      <c r="R34" s="421" t="s">
        <v>224</v>
      </c>
      <c r="S34" s="421" t="s">
        <v>224</v>
      </c>
      <c r="T34" s="421" t="s">
        <v>224</v>
      </c>
      <c r="U34" s="421" t="s">
        <v>224</v>
      </c>
      <c r="V34" s="421" t="s">
        <v>224</v>
      </c>
      <c r="W34" s="421" t="s">
        <v>224</v>
      </c>
      <c r="X34" s="453" t="s">
        <v>224</v>
      </c>
      <c r="Y34" s="421" t="s">
        <v>224</v>
      </c>
      <c r="Z34" s="421" t="s">
        <v>224</v>
      </c>
      <c r="AA34" s="421" t="s">
        <v>224</v>
      </c>
      <c r="AB34" s="421" t="s">
        <v>224</v>
      </c>
      <c r="AC34" s="421" t="s">
        <v>224</v>
      </c>
      <c r="AD34" s="421" t="s">
        <v>224</v>
      </c>
      <c r="AE34" s="453" t="s">
        <v>224</v>
      </c>
      <c r="AF34" s="421" t="s">
        <v>224</v>
      </c>
      <c r="AG34" s="421" t="s">
        <v>224</v>
      </c>
      <c r="AH34" s="422" t="s">
        <v>224</v>
      </c>
      <c r="AI34" s="411">
        <f>COUNTIF(D34:AH34,"p")+COUNTIF(D34:AH34,"1/p")/2+COUNTIF(D34:AH34,"CĐ")</f>
        <v>0</v>
      </c>
      <c r="AJ34" s="411">
        <f>COUNTIF(D34:AH34,"Ô")+COUNTIF(D34:AH34,"R")+COUNTIF(D34:AH34,"1/2")/2+COUNTIF(D34:AH34,"Ts")</f>
        <v>0</v>
      </c>
      <c r="AK34" s="411">
        <f>COUNTIF(D34:AH34,"Nb")+COUNTIF(D34:AH34,"L")+COUNTIF(D34:AH34,"T")+COUNTIF(D34:AH34,"1/LT")/2</f>
        <v>0</v>
      </c>
      <c r="AL34" s="412">
        <f>SUM(D35:AH35)</f>
        <v>0</v>
      </c>
      <c r="AM34" s="411">
        <f>COUNTIF(D34:AH34,"F1")+COUNTIF(D34:AH34,"1/F1")/2</f>
        <v>0</v>
      </c>
      <c r="AN34" s="411">
        <f>COUNTIF(D34:AH34,"F")+COUNTIF(D34:AH34,"1/lt")/2</f>
        <v>0</v>
      </c>
      <c r="AO34" s="413">
        <f>COUNTIF(D34:AH34,"X")+COUNTIF(D34:AH34,"1/2")/2+COUNTIF(D34:AH34,"1/p")/2+COUNTIF(D34:AH34,"ĐH")</f>
        <v>31</v>
      </c>
      <c r="AP34" s="534"/>
    </row>
    <row r="35" spans="1:42" s="414" customFormat="1" ht="18.75" customHeight="1">
      <c r="A35" s="528"/>
      <c r="B35" s="533"/>
      <c r="C35" s="542"/>
      <c r="D35" s="442"/>
      <c r="E35" s="427"/>
      <c r="F35" s="427"/>
      <c r="G35" s="427"/>
      <c r="H35" s="427"/>
      <c r="I35" s="427"/>
      <c r="J35" s="454"/>
      <c r="K35" s="427"/>
      <c r="L35" s="427"/>
      <c r="M35" s="427"/>
      <c r="N35" s="427"/>
      <c r="O35" s="427"/>
      <c r="P35" s="427"/>
      <c r="Q35" s="454"/>
      <c r="R35" s="427"/>
      <c r="S35" s="427"/>
      <c r="T35" s="427"/>
      <c r="U35" s="427"/>
      <c r="V35" s="427"/>
      <c r="W35" s="427"/>
      <c r="X35" s="454"/>
      <c r="Y35" s="427"/>
      <c r="Z35" s="427"/>
      <c r="AA35" s="427"/>
      <c r="AB35" s="427"/>
      <c r="AC35" s="427"/>
      <c r="AD35" s="427"/>
      <c r="AE35" s="454"/>
      <c r="AF35" s="427"/>
      <c r="AG35" s="427"/>
      <c r="AH35" s="422"/>
      <c r="AI35" s="411"/>
      <c r="AJ35" s="411"/>
      <c r="AK35" s="411"/>
      <c r="AL35" s="412"/>
      <c r="AM35" s="411"/>
      <c r="AN35" s="411"/>
      <c r="AO35" s="413"/>
      <c r="AP35" s="535"/>
    </row>
    <row r="36" spans="1:42" s="414" customFormat="1" ht="18.75" customHeight="1">
      <c r="A36" s="527">
        <f t="shared" si="2"/>
        <v>13</v>
      </c>
      <c r="B36" s="539" t="s">
        <v>297</v>
      </c>
      <c r="C36" s="541" t="s">
        <v>287</v>
      </c>
      <c r="D36" s="421" t="s">
        <v>224</v>
      </c>
      <c r="E36" s="421" t="s">
        <v>224</v>
      </c>
      <c r="F36" s="421" t="s">
        <v>224</v>
      </c>
      <c r="G36" s="421" t="s">
        <v>224</v>
      </c>
      <c r="H36" s="421" t="s">
        <v>224</v>
      </c>
      <c r="I36" s="421" t="s">
        <v>224</v>
      </c>
      <c r="J36" s="428" t="s">
        <v>224</v>
      </c>
      <c r="K36" s="421" t="s">
        <v>224</v>
      </c>
      <c r="L36" s="421" t="s">
        <v>224</v>
      </c>
      <c r="M36" s="421" t="s">
        <v>224</v>
      </c>
      <c r="N36" s="421" t="s">
        <v>224</v>
      </c>
      <c r="O36" s="421" t="s">
        <v>224</v>
      </c>
      <c r="P36" s="421" t="s">
        <v>224</v>
      </c>
      <c r="Q36" s="428" t="s">
        <v>224</v>
      </c>
      <c r="R36" s="421" t="s">
        <v>224</v>
      </c>
      <c r="S36" s="421" t="s">
        <v>224</v>
      </c>
      <c r="T36" s="421" t="s">
        <v>224</v>
      </c>
      <c r="U36" s="421" t="s">
        <v>224</v>
      </c>
      <c r="V36" s="421" t="s">
        <v>224</v>
      </c>
      <c r="W36" s="421" t="s">
        <v>224</v>
      </c>
      <c r="X36" s="453" t="s">
        <v>224</v>
      </c>
      <c r="Y36" s="421" t="s">
        <v>224</v>
      </c>
      <c r="Z36" s="421" t="s">
        <v>224</v>
      </c>
      <c r="AA36" s="421" t="s">
        <v>224</v>
      </c>
      <c r="AB36" s="421" t="s">
        <v>224</v>
      </c>
      <c r="AC36" s="421" t="s">
        <v>224</v>
      </c>
      <c r="AD36" s="421" t="s">
        <v>224</v>
      </c>
      <c r="AE36" s="453" t="s">
        <v>224</v>
      </c>
      <c r="AF36" s="421" t="s">
        <v>224</v>
      </c>
      <c r="AG36" s="421" t="s">
        <v>224</v>
      </c>
      <c r="AH36" s="422" t="s">
        <v>224</v>
      </c>
      <c r="AI36" s="411">
        <f>COUNTIF(D36:AH36,"p")+COUNTIF(D36:AH36,"1/p")/2+COUNTIF(D36:AH36,"CĐ")</f>
        <v>0</v>
      </c>
      <c r="AJ36" s="411">
        <f>COUNTIF(D36:AH36,"Ô")+COUNTIF(D36:AH36,"R")+COUNTIF(D36:AH36,"1/2")/2+COUNTIF(D36:AH36,"Ts")</f>
        <v>0</v>
      </c>
      <c r="AK36" s="411">
        <f>COUNTIF(D36:AH36,"Nb")+COUNTIF(D36:AH36,"L")+COUNTIF(D36:AH36,"T")+COUNTIF(D36:AH36,"1/LT")/2</f>
        <v>0</v>
      </c>
      <c r="AL36" s="412">
        <f>SUM(D37:AH37)</f>
        <v>0</v>
      </c>
      <c r="AM36" s="411">
        <f>COUNTIF(D36:AH36,"F1")+COUNTIF(D36:AH36,"1/F1")/2</f>
        <v>0</v>
      </c>
      <c r="AN36" s="411">
        <f>COUNTIF(D36:AH36,"F")+COUNTIF(D36:AH36,"1/lt")/2</f>
        <v>0</v>
      </c>
      <c r="AO36" s="413">
        <f>COUNTIF(D36:AH36,"X")+COUNTIF(D36:AH36,"1/2")/2+COUNTIF(D36:AH36,"1/p")/2+COUNTIF(D36:AH36,"ĐH")</f>
        <v>31</v>
      </c>
      <c r="AP36" s="527"/>
    </row>
    <row r="37" spans="1:42" s="414" customFormat="1" ht="18.75" customHeight="1">
      <c r="A37" s="528"/>
      <c r="B37" s="540"/>
      <c r="C37" s="542"/>
      <c r="D37" s="442"/>
      <c r="E37" s="427"/>
      <c r="F37" s="427"/>
      <c r="G37" s="427"/>
      <c r="H37" s="427"/>
      <c r="I37" s="427"/>
      <c r="J37" s="454"/>
      <c r="K37" s="427"/>
      <c r="L37" s="427"/>
      <c r="M37" s="427"/>
      <c r="N37" s="427"/>
      <c r="O37" s="427"/>
      <c r="P37" s="427"/>
      <c r="Q37" s="454"/>
      <c r="R37" s="427"/>
      <c r="S37" s="427"/>
      <c r="T37" s="427"/>
      <c r="U37" s="427"/>
      <c r="V37" s="427"/>
      <c r="W37" s="427"/>
      <c r="X37" s="454"/>
      <c r="Y37" s="427"/>
      <c r="Z37" s="427"/>
      <c r="AA37" s="427"/>
      <c r="AB37" s="427"/>
      <c r="AC37" s="427"/>
      <c r="AD37" s="427"/>
      <c r="AE37" s="454"/>
      <c r="AF37" s="427"/>
      <c r="AG37" s="427"/>
      <c r="AH37" s="422"/>
      <c r="AI37" s="411"/>
      <c r="AJ37" s="411"/>
      <c r="AK37" s="411"/>
      <c r="AL37" s="412"/>
      <c r="AM37" s="411"/>
      <c r="AN37" s="411"/>
      <c r="AO37" s="413"/>
      <c r="AP37" s="528"/>
    </row>
    <row r="38" spans="1:42" s="414" customFormat="1" ht="44.25" customHeight="1">
      <c r="A38" s="543" t="s">
        <v>202</v>
      </c>
      <c r="B38" s="544"/>
      <c r="C38" s="545"/>
      <c r="D38" s="56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  <c r="AA38" s="547"/>
      <c r="AB38" s="547"/>
      <c r="AC38" s="547"/>
      <c r="AD38" s="547"/>
      <c r="AE38" s="547"/>
      <c r="AF38" s="547"/>
      <c r="AG38" s="547"/>
      <c r="AH38" s="547"/>
      <c r="AI38" s="547"/>
      <c r="AJ38" s="547"/>
      <c r="AK38" s="547"/>
      <c r="AL38" s="547"/>
      <c r="AM38" s="547"/>
      <c r="AN38" s="547"/>
      <c r="AO38" s="548"/>
      <c r="AP38" s="421"/>
    </row>
    <row r="39" spans="1:42" s="414" customFormat="1" ht="20.25" customHeight="1">
      <c r="A39" s="83"/>
      <c r="B39" s="28" t="s">
        <v>306</v>
      </c>
      <c r="C39" s="378"/>
      <c r="D39" s="378"/>
      <c r="E39" s="378"/>
      <c r="F39" s="378"/>
      <c r="G39" s="378"/>
      <c r="H39" s="378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  <c r="AA39" s="384"/>
      <c r="AB39" s="384"/>
      <c r="AC39" s="384"/>
      <c r="AD39" s="384"/>
      <c r="AE39" s="384"/>
      <c r="AF39" s="384"/>
      <c r="AG39" s="384"/>
      <c r="AH39" s="384"/>
      <c r="AO39" s="378"/>
      <c r="AP39" s="378"/>
    </row>
    <row r="40" spans="1:42" s="394" customFormat="1" ht="18.75" customHeight="1">
      <c r="A40" s="393"/>
      <c r="B40" s="441" t="s">
        <v>263</v>
      </c>
      <c r="C40" s="381"/>
      <c r="D40" s="381"/>
      <c r="E40" s="417"/>
      <c r="F40" s="417"/>
      <c r="G40" s="418"/>
      <c r="H40" s="417"/>
      <c r="I40" s="417"/>
      <c r="J40" s="419"/>
      <c r="K40" s="419"/>
      <c r="L40" s="419"/>
      <c r="M40" s="419"/>
      <c r="N40" s="419"/>
      <c r="S40" s="549" t="s">
        <v>262</v>
      </c>
      <c r="T40" s="549"/>
      <c r="U40" s="549"/>
      <c r="V40" s="549"/>
      <c r="W40" s="549"/>
      <c r="X40" s="549"/>
      <c r="Y40" s="419"/>
      <c r="Z40" s="419"/>
      <c r="AA40" s="419"/>
      <c r="AB40" s="419"/>
      <c r="AC40" s="419"/>
      <c r="AD40" s="419"/>
      <c r="AE40" s="419"/>
      <c r="AF40" s="419"/>
      <c r="AG40" s="419"/>
      <c r="AH40" s="419"/>
      <c r="AI40" s="381"/>
      <c r="AJ40" s="381"/>
      <c r="AK40" s="381"/>
      <c r="AL40" s="381"/>
      <c r="AM40" s="381"/>
      <c r="AN40" s="381"/>
      <c r="AO40" s="549" t="s">
        <v>317</v>
      </c>
      <c r="AP40" s="549"/>
    </row>
    <row r="41" spans="1:42" s="380" customFormat="1" ht="20.25" customHeight="1">
      <c r="A41" s="83"/>
      <c r="B41" s="83"/>
      <c r="C41" s="83"/>
      <c r="D41" s="378"/>
      <c r="E41" s="385"/>
      <c r="F41" s="385"/>
      <c r="G41" s="401"/>
      <c r="H41" s="385"/>
      <c r="I41" s="385"/>
      <c r="J41" s="385"/>
      <c r="K41" s="385"/>
      <c r="L41" s="385"/>
      <c r="M41" s="385"/>
      <c r="N41" s="385"/>
      <c r="T41" s="378"/>
      <c r="U41" s="378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79"/>
      <c r="AJ41" s="379"/>
      <c r="AK41" s="379"/>
      <c r="AL41" s="397"/>
      <c r="AM41" s="379"/>
      <c r="AN41" s="379"/>
      <c r="AO41" s="378"/>
      <c r="AP41" s="378"/>
    </row>
    <row r="42" spans="1:42" s="380" customFormat="1" ht="18.75" customHeight="1">
      <c r="A42" s="83"/>
      <c r="B42" s="83"/>
      <c r="C42" s="83"/>
      <c r="D42" s="378"/>
      <c r="E42" s="385"/>
      <c r="F42" s="385"/>
      <c r="G42" s="385"/>
      <c r="H42" s="385"/>
      <c r="I42" s="385"/>
      <c r="J42" s="385"/>
      <c r="K42" s="385"/>
      <c r="L42" s="385"/>
      <c r="M42" s="385"/>
      <c r="N42" s="385"/>
      <c r="T42" s="378"/>
      <c r="U42" s="378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79"/>
      <c r="AJ42" s="379"/>
      <c r="AK42" s="379"/>
      <c r="AL42" s="397"/>
      <c r="AM42" s="379"/>
      <c r="AN42" s="379"/>
      <c r="AO42" s="378"/>
      <c r="AP42" s="378"/>
    </row>
    <row r="43" spans="1:42" s="380" customFormat="1" ht="20.25" customHeight="1">
      <c r="A43" s="83"/>
      <c r="B43" s="83"/>
      <c r="C43" s="83"/>
      <c r="D43" s="83"/>
      <c r="E43" s="400"/>
      <c r="F43" s="400"/>
      <c r="G43" s="400"/>
      <c r="H43" s="400"/>
      <c r="I43" s="400"/>
      <c r="J43" s="400"/>
      <c r="K43" s="400"/>
      <c r="L43" s="400"/>
      <c r="M43" s="400"/>
      <c r="N43" s="400"/>
      <c r="T43" s="83"/>
      <c r="U43" s="83"/>
      <c r="V43" s="400"/>
      <c r="W43" s="400"/>
      <c r="X43" s="400"/>
      <c r="Y43" s="400"/>
      <c r="Z43" s="400"/>
      <c r="AA43" s="400"/>
      <c r="AB43" s="400"/>
      <c r="AC43" s="400"/>
      <c r="AD43" s="400"/>
      <c r="AE43" s="400"/>
      <c r="AF43" s="400"/>
      <c r="AG43" s="400"/>
      <c r="AH43" s="400"/>
      <c r="AI43" s="83"/>
      <c r="AJ43" s="83"/>
      <c r="AK43" s="83"/>
      <c r="AL43" s="398"/>
      <c r="AM43" s="83"/>
      <c r="AN43" s="83"/>
      <c r="AO43" s="83"/>
      <c r="AP43" s="83"/>
    </row>
    <row r="44" spans="1:42" s="392" customFormat="1" ht="27" customHeight="1">
      <c r="A44" s="440"/>
      <c r="B44" s="439" t="s">
        <v>318</v>
      </c>
      <c r="C44" s="28"/>
      <c r="D44" s="28"/>
      <c r="E44" s="391"/>
      <c r="F44" s="391"/>
      <c r="G44" s="391"/>
      <c r="H44" s="391"/>
      <c r="I44" s="391"/>
      <c r="J44" s="391"/>
      <c r="K44" s="391"/>
      <c r="L44" s="391"/>
      <c r="M44" s="391"/>
      <c r="N44" s="391"/>
      <c r="S44" s="465" t="s">
        <v>319</v>
      </c>
      <c r="T44" s="465"/>
      <c r="U44" s="465"/>
      <c r="V44" s="465"/>
      <c r="W44" s="465"/>
      <c r="X44" s="465"/>
      <c r="Y44" s="391"/>
      <c r="Z44" s="391"/>
      <c r="AA44" s="391"/>
      <c r="AB44" s="391"/>
      <c r="AC44" s="391"/>
      <c r="AD44" s="391"/>
      <c r="AE44" s="391"/>
      <c r="AF44" s="391"/>
      <c r="AG44" s="391"/>
      <c r="AH44" s="391"/>
      <c r="AI44" s="395"/>
      <c r="AJ44" s="395"/>
      <c r="AK44" s="395"/>
      <c r="AL44" s="399"/>
      <c r="AM44" s="395"/>
      <c r="AN44" s="395"/>
      <c r="AO44" s="465" t="s">
        <v>320</v>
      </c>
      <c r="AP44" s="465"/>
    </row>
    <row r="45" spans="1:42" s="380" customFormat="1" ht="20.25" customHeight="1">
      <c r="A45" s="382"/>
      <c r="B45" s="415"/>
      <c r="C45" s="415" t="s">
        <v>259</v>
      </c>
      <c r="D45" s="382"/>
      <c r="E45" s="385"/>
      <c r="F45" s="385"/>
      <c r="G45" s="385"/>
      <c r="H45" s="385"/>
      <c r="I45" s="385"/>
      <c r="J45" s="385"/>
      <c r="K45" s="385"/>
      <c r="L45" s="385"/>
      <c r="M45" s="386"/>
      <c r="N45" s="387"/>
      <c r="O45" s="385"/>
      <c r="P45" s="385"/>
      <c r="Q45" s="385"/>
      <c r="R45" s="385"/>
      <c r="S45" s="385"/>
      <c r="T45" s="385"/>
      <c r="U45" s="385"/>
      <c r="W45" s="416"/>
      <c r="X45" s="416"/>
      <c r="Y45" s="385"/>
      <c r="Z45" s="416" t="s">
        <v>227</v>
      </c>
      <c r="AO45" s="378"/>
      <c r="AP45" s="378"/>
    </row>
    <row r="46" spans="1:42" s="380" customFormat="1" ht="18.75" customHeight="1">
      <c r="A46" s="83"/>
      <c r="B46" s="83"/>
      <c r="C46" s="83"/>
      <c r="D46" s="385" t="s">
        <v>224</v>
      </c>
      <c r="E46" s="385" t="s">
        <v>225</v>
      </c>
      <c r="F46" s="385"/>
      <c r="G46" s="385"/>
      <c r="H46" s="385"/>
      <c r="I46" s="385"/>
      <c r="J46" s="385"/>
      <c r="K46" s="385"/>
      <c r="L46" s="385"/>
      <c r="M46" s="385"/>
      <c r="N46" s="386" t="s">
        <v>223</v>
      </c>
      <c r="O46" s="387" t="s">
        <v>241</v>
      </c>
      <c r="P46" s="385" t="s">
        <v>226</v>
      </c>
      <c r="Q46" s="385"/>
      <c r="R46" s="385"/>
      <c r="S46" s="385"/>
      <c r="T46" s="385"/>
      <c r="U46" s="385"/>
      <c r="V46" s="385"/>
      <c r="W46" s="385"/>
      <c r="X46" s="385"/>
      <c r="Y46" s="385"/>
      <c r="AB46" s="386" t="s">
        <v>223</v>
      </c>
      <c r="AC46" s="388"/>
      <c r="AD46" s="385" t="s">
        <v>228</v>
      </c>
      <c r="AE46" s="385"/>
      <c r="AF46" s="385"/>
      <c r="AG46" s="385"/>
      <c r="AH46" s="385"/>
      <c r="AI46" s="385"/>
      <c r="AJ46" s="385"/>
      <c r="AK46" s="379"/>
      <c r="AL46" s="379"/>
      <c r="AM46" s="379"/>
      <c r="AN46" s="397"/>
      <c r="AO46" s="379"/>
      <c r="AP46" s="379"/>
    </row>
    <row r="47" spans="1:42" s="380" customFormat="1" ht="20.25" customHeight="1">
      <c r="A47" s="83"/>
      <c r="B47" s="83"/>
      <c r="C47" s="83"/>
      <c r="D47" s="385" t="s">
        <v>213</v>
      </c>
      <c r="E47" s="385" t="s">
        <v>229</v>
      </c>
      <c r="F47" s="385"/>
      <c r="G47" s="385"/>
      <c r="H47" s="385"/>
      <c r="I47" s="385"/>
      <c r="J47" s="385"/>
      <c r="K47" s="385"/>
      <c r="L47" s="385"/>
      <c r="M47" s="385"/>
      <c r="N47" s="386" t="s">
        <v>223</v>
      </c>
      <c r="O47" s="385" t="s">
        <v>220</v>
      </c>
      <c r="P47" s="385" t="s">
        <v>230</v>
      </c>
      <c r="Q47" s="385"/>
      <c r="R47" s="385"/>
      <c r="S47" s="385"/>
      <c r="T47" s="385"/>
      <c r="U47" s="385"/>
      <c r="V47" s="385"/>
      <c r="W47" s="385"/>
      <c r="X47" s="385"/>
      <c r="Y47" s="385"/>
      <c r="AB47" s="386" t="s">
        <v>223</v>
      </c>
      <c r="AC47" s="388"/>
      <c r="AD47" s="385" t="s">
        <v>231</v>
      </c>
      <c r="AE47" s="385"/>
      <c r="AF47" s="385"/>
      <c r="AG47" s="385"/>
      <c r="AH47" s="385"/>
      <c r="AI47" s="386"/>
      <c r="AJ47" s="385"/>
      <c r="AK47" s="379"/>
      <c r="AL47" s="379"/>
      <c r="AM47" s="379"/>
      <c r="AN47" s="397"/>
      <c r="AO47" s="379"/>
      <c r="AP47" s="379"/>
    </row>
    <row r="48" spans="1:42" s="380" customFormat="1" ht="18.75" customHeight="1">
      <c r="A48" s="83"/>
      <c r="B48" s="83"/>
      <c r="C48" s="83"/>
      <c r="D48" s="385" t="s">
        <v>219</v>
      </c>
      <c r="E48" s="385" t="s">
        <v>232</v>
      </c>
      <c r="F48" s="385"/>
      <c r="G48" s="385"/>
      <c r="H48" s="385"/>
      <c r="I48" s="385"/>
      <c r="J48" s="385"/>
      <c r="K48" s="385"/>
      <c r="L48" s="385"/>
      <c r="M48" s="385"/>
      <c r="N48" s="386" t="s">
        <v>223</v>
      </c>
      <c r="O48" s="385" t="s">
        <v>218</v>
      </c>
      <c r="P48" s="385" t="s">
        <v>233</v>
      </c>
      <c r="Q48" s="385"/>
      <c r="R48" s="385"/>
      <c r="S48" s="384"/>
      <c r="T48" s="384"/>
      <c r="U48" s="385"/>
      <c r="V48" s="385"/>
      <c r="W48" s="385"/>
      <c r="X48" s="385"/>
      <c r="Y48" s="385"/>
      <c r="AB48" s="386"/>
      <c r="AC48" s="396" t="s">
        <v>256</v>
      </c>
      <c r="AD48" s="385" t="s">
        <v>257</v>
      </c>
      <c r="AE48" s="385"/>
      <c r="AF48" s="385"/>
      <c r="AG48" s="385"/>
      <c r="AH48" s="385"/>
      <c r="AI48" s="386"/>
      <c r="AJ48" s="385"/>
      <c r="AK48" s="379"/>
      <c r="AL48" s="379"/>
      <c r="AM48" s="379"/>
      <c r="AN48" s="397"/>
      <c r="AO48" s="379"/>
      <c r="AP48" s="379"/>
    </row>
    <row r="49" spans="1:42" s="380" customFormat="1" ht="20.25" customHeight="1">
      <c r="A49" s="83"/>
      <c r="B49" s="83"/>
      <c r="C49" s="83"/>
      <c r="D49" s="385" t="s">
        <v>234</v>
      </c>
      <c r="E49" s="385" t="s">
        <v>235</v>
      </c>
      <c r="F49" s="385"/>
      <c r="G49" s="385"/>
      <c r="H49" s="385"/>
      <c r="I49" s="385"/>
      <c r="J49" s="385"/>
      <c r="K49" s="385"/>
      <c r="L49" s="385"/>
      <c r="M49" s="385"/>
      <c r="N49" s="389" t="s">
        <v>223</v>
      </c>
      <c r="O49" s="384" t="s">
        <v>221</v>
      </c>
      <c r="P49" s="384" t="s">
        <v>244</v>
      </c>
      <c r="Q49" s="384"/>
      <c r="R49" s="384"/>
      <c r="S49" s="384"/>
      <c r="T49" s="384"/>
      <c r="U49" s="385"/>
      <c r="V49" s="385"/>
      <c r="W49" s="385"/>
      <c r="X49" s="385"/>
      <c r="Y49" s="385"/>
      <c r="AB49" s="386"/>
      <c r="AC49" s="385"/>
      <c r="AD49" s="385" t="s">
        <v>264</v>
      </c>
      <c r="AE49" s="385"/>
      <c r="AF49" s="385"/>
      <c r="AG49" s="385"/>
      <c r="AH49" s="385"/>
      <c r="AI49" s="385"/>
      <c r="AJ49" s="385"/>
      <c r="AK49" s="379"/>
      <c r="AL49" s="379"/>
      <c r="AM49" s="379"/>
      <c r="AN49" s="397"/>
      <c r="AO49" s="379"/>
      <c r="AP49" s="379"/>
    </row>
    <row r="50" spans="1:42" s="380" customFormat="1" ht="18.75" customHeight="1">
      <c r="A50" s="83"/>
      <c r="B50" s="83"/>
      <c r="C50" s="83"/>
      <c r="D50" s="390" t="s">
        <v>245</v>
      </c>
      <c r="E50" s="385" t="s">
        <v>246</v>
      </c>
      <c r="F50" s="385"/>
      <c r="G50" s="385"/>
      <c r="H50" s="385"/>
      <c r="I50" s="385"/>
      <c r="J50" s="385"/>
      <c r="K50" s="385"/>
      <c r="L50" s="385"/>
      <c r="M50" s="385"/>
      <c r="N50" s="389" t="s">
        <v>223</v>
      </c>
      <c r="O50" s="384" t="s">
        <v>247</v>
      </c>
      <c r="P50" s="384" t="s">
        <v>248</v>
      </c>
      <c r="Q50" s="384"/>
      <c r="R50" s="384"/>
      <c r="S50" s="384"/>
      <c r="T50" s="384"/>
      <c r="U50" s="385"/>
      <c r="V50" s="385"/>
      <c r="W50" s="385"/>
      <c r="X50" s="385"/>
      <c r="Y50" s="385"/>
      <c r="Z50" s="385"/>
      <c r="AA50" s="385"/>
      <c r="AB50" s="386"/>
      <c r="AC50" s="383" t="s">
        <v>216</v>
      </c>
      <c r="AD50" s="385" t="s">
        <v>258</v>
      </c>
      <c r="AE50" s="385"/>
      <c r="AF50" s="385"/>
      <c r="AG50" s="385"/>
      <c r="AH50" s="385"/>
      <c r="AI50" s="385"/>
      <c r="AJ50" s="385"/>
      <c r="AK50" s="379"/>
      <c r="AL50" s="379"/>
      <c r="AM50" s="379"/>
      <c r="AN50" s="397"/>
      <c r="AO50" s="379"/>
      <c r="AP50" s="379"/>
    </row>
    <row r="51" spans="1:42" s="380" customFormat="1" ht="20.25" customHeight="1">
      <c r="A51" s="83"/>
      <c r="B51" s="83"/>
      <c r="C51" s="83"/>
      <c r="D51" s="390" t="s">
        <v>249</v>
      </c>
      <c r="E51" s="385" t="s">
        <v>250</v>
      </c>
      <c r="F51" s="385"/>
      <c r="G51" s="385"/>
      <c r="H51" s="385"/>
      <c r="I51" s="385"/>
      <c r="J51" s="385"/>
      <c r="K51" s="385"/>
      <c r="L51" s="385"/>
      <c r="M51" s="385"/>
      <c r="N51" s="386" t="s">
        <v>223</v>
      </c>
      <c r="O51" s="385" t="s">
        <v>222</v>
      </c>
      <c r="P51" s="385" t="s">
        <v>251</v>
      </c>
      <c r="Q51" s="385"/>
      <c r="R51" s="385"/>
      <c r="S51" s="385"/>
      <c r="T51" s="384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85"/>
      <c r="AF51" s="385"/>
      <c r="AG51" s="385"/>
      <c r="AH51" s="385"/>
      <c r="AI51" s="379"/>
      <c r="AJ51" s="379"/>
      <c r="AK51" s="379"/>
      <c r="AL51" s="397"/>
      <c r="AM51" s="379"/>
      <c r="AN51" s="379"/>
      <c r="AO51" s="378"/>
      <c r="AP51" s="378"/>
    </row>
    <row r="52" spans="1:42" s="380" customFormat="1" ht="18.75" customHeight="1">
      <c r="A52" s="83"/>
      <c r="B52" s="83"/>
      <c r="C52" s="83"/>
      <c r="D52" s="385" t="s">
        <v>236</v>
      </c>
      <c r="E52" s="385" t="s">
        <v>237</v>
      </c>
      <c r="F52" s="385"/>
      <c r="G52" s="385"/>
      <c r="H52" s="385"/>
      <c r="I52" s="385"/>
      <c r="J52" s="385"/>
      <c r="K52" s="385"/>
      <c r="L52" s="385"/>
      <c r="M52" s="385"/>
      <c r="N52" s="386" t="s">
        <v>223</v>
      </c>
      <c r="O52" s="385" t="s">
        <v>217</v>
      </c>
      <c r="P52" s="385" t="s">
        <v>240</v>
      </c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79"/>
      <c r="AJ52" s="379"/>
      <c r="AK52" s="379"/>
      <c r="AL52" s="397"/>
      <c r="AM52" s="379"/>
      <c r="AN52" s="379"/>
      <c r="AO52" s="378"/>
      <c r="AP52" s="378"/>
    </row>
    <row r="53" spans="1:42" s="380" customFormat="1" ht="20.25" customHeight="1">
      <c r="A53" s="83"/>
      <c r="B53" s="83"/>
      <c r="C53" s="83"/>
      <c r="D53" s="384" t="s">
        <v>238</v>
      </c>
      <c r="E53" s="384" t="s">
        <v>239</v>
      </c>
      <c r="F53" s="384"/>
      <c r="G53" s="384"/>
      <c r="H53" s="385"/>
      <c r="I53" s="385"/>
      <c r="J53" s="385"/>
      <c r="K53" s="385"/>
      <c r="L53" s="385"/>
      <c r="M53" s="385"/>
      <c r="N53" s="386" t="s">
        <v>223</v>
      </c>
      <c r="O53" s="385" t="s">
        <v>242</v>
      </c>
      <c r="P53" s="385" t="s">
        <v>252</v>
      </c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79"/>
      <c r="AJ53" s="379"/>
      <c r="AK53" s="379"/>
      <c r="AL53" s="397"/>
      <c r="AM53" s="379"/>
      <c r="AN53" s="379"/>
      <c r="AO53" s="378"/>
      <c r="AP53" s="378"/>
    </row>
    <row r="54" spans="1:42" s="380" customFormat="1" ht="18.75" customHeight="1">
      <c r="A54" s="83"/>
      <c r="B54" s="83"/>
      <c r="C54" s="83"/>
      <c r="D54" s="378"/>
      <c r="E54" s="385"/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85"/>
      <c r="AD54" s="385"/>
      <c r="AE54" s="385"/>
      <c r="AF54" s="385"/>
      <c r="AG54" s="385"/>
      <c r="AH54" s="385"/>
      <c r="AI54" s="379"/>
      <c r="AJ54" s="379"/>
      <c r="AK54" s="379"/>
      <c r="AL54" s="397"/>
      <c r="AM54" s="379"/>
      <c r="AN54" s="379"/>
      <c r="AO54" s="378"/>
      <c r="AP54" s="378"/>
    </row>
    <row r="55" spans="1:42" s="380" customFormat="1" ht="20.25" customHeight="1">
      <c r="A55" s="83"/>
      <c r="B55" s="83"/>
      <c r="C55" s="83"/>
      <c r="D55" s="378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79"/>
      <c r="AJ55" s="379"/>
      <c r="AK55" s="379"/>
      <c r="AL55" s="397"/>
      <c r="AM55" s="379"/>
      <c r="AN55" s="379"/>
      <c r="AO55" s="378"/>
      <c r="AP55" s="378"/>
    </row>
    <row r="56" spans="1:42" s="380" customFormat="1" ht="18.75" customHeight="1">
      <c r="A56" s="83"/>
      <c r="B56" s="83"/>
      <c r="C56" s="83"/>
      <c r="D56" s="378"/>
      <c r="E56" s="385"/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85"/>
      <c r="AC56" s="385"/>
      <c r="AD56" s="385"/>
      <c r="AE56" s="385"/>
      <c r="AF56" s="385"/>
      <c r="AG56" s="385"/>
      <c r="AH56" s="385"/>
      <c r="AI56" s="379"/>
      <c r="AJ56" s="379"/>
      <c r="AK56" s="379"/>
      <c r="AL56" s="397"/>
      <c r="AM56" s="379"/>
      <c r="AN56" s="379"/>
      <c r="AO56" s="378"/>
      <c r="AP56" s="378"/>
    </row>
    <row r="57" spans="1:42" s="380" customFormat="1" ht="17.399999999999999" customHeight="1">
      <c r="A57" s="83"/>
      <c r="B57" s="83"/>
      <c r="C57" s="83"/>
      <c r="D57" s="385"/>
      <c r="E57" s="385"/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79"/>
      <c r="AJ57" s="379"/>
      <c r="AK57" s="379"/>
      <c r="AL57" s="397"/>
      <c r="AM57" s="379"/>
      <c r="AN57" s="379"/>
      <c r="AO57" s="378"/>
      <c r="AP57" s="378"/>
    </row>
    <row r="58" spans="1:42" ht="17.399999999999999" customHeight="1"/>
    <row r="59" spans="1:42" s="381" customFormat="1" ht="16.8">
      <c r="A59" s="83"/>
      <c r="B59" s="83"/>
      <c r="C59" s="83"/>
      <c r="D59" s="378"/>
      <c r="E59" s="385"/>
      <c r="F59" s="385"/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  <c r="AA59" s="385"/>
      <c r="AB59" s="385"/>
      <c r="AC59" s="385"/>
      <c r="AD59" s="385"/>
      <c r="AE59" s="385"/>
      <c r="AF59" s="385"/>
      <c r="AG59" s="385"/>
      <c r="AH59" s="385"/>
      <c r="AI59" s="379"/>
      <c r="AJ59" s="379"/>
      <c r="AK59" s="379"/>
      <c r="AL59" s="397"/>
      <c r="AM59" s="379"/>
      <c r="AN59" s="379"/>
      <c r="AO59" s="378"/>
      <c r="AP59" s="378"/>
    </row>
    <row r="62" spans="1:42" s="83" customFormat="1">
      <c r="D62" s="378"/>
      <c r="E62" s="385"/>
      <c r="F62" s="385"/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  <c r="AA62" s="385"/>
      <c r="AB62" s="385"/>
      <c r="AC62" s="385"/>
      <c r="AD62" s="385"/>
      <c r="AE62" s="385"/>
      <c r="AF62" s="385"/>
      <c r="AG62" s="385"/>
      <c r="AH62" s="385"/>
      <c r="AI62" s="379"/>
      <c r="AJ62" s="379"/>
      <c r="AK62" s="379"/>
      <c r="AL62" s="397"/>
      <c r="AM62" s="379"/>
      <c r="AN62" s="379"/>
      <c r="AO62" s="378"/>
      <c r="AP62" s="378"/>
    </row>
  </sheetData>
  <mergeCells count="80">
    <mergeCell ref="A38:C38"/>
    <mergeCell ref="D38:AO38"/>
    <mergeCell ref="S40:X40"/>
    <mergeCell ref="AO40:AP40"/>
    <mergeCell ref="S44:X44"/>
    <mergeCell ref="AO44:AP44"/>
    <mergeCell ref="A36:A37"/>
    <mergeCell ref="B36:B37"/>
    <mergeCell ref="C36:C37"/>
    <mergeCell ref="AP36:AP37"/>
    <mergeCell ref="A30:A31"/>
    <mergeCell ref="B30:B31"/>
    <mergeCell ref="C30:C31"/>
    <mergeCell ref="AP30:AP31"/>
    <mergeCell ref="A32:A33"/>
    <mergeCell ref="A34:A35"/>
    <mergeCell ref="B34:B35"/>
    <mergeCell ref="C34:C35"/>
    <mergeCell ref="AP34:AP35"/>
    <mergeCell ref="B32:B33"/>
    <mergeCell ref="C32:C33"/>
    <mergeCell ref="AP32:AP33"/>
    <mergeCell ref="A26:A27"/>
    <mergeCell ref="B26:B27"/>
    <mergeCell ref="C26:C27"/>
    <mergeCell ref="AP26:AP27"/>
    <mergeCell ref="A28:A29"/>
    <mergeCell ref="B28:B29"/>
    <mergeCell ref="C28:C29"/>
    <mergeCell ref="AP28:AP29"/>
    <mergeCell ref="A22:A23"/>
    <mergeCell ref="B22:B23"/>
    <mergeCell ref="C22:C23"/>
    <mergeCell ref="AP22:AP23"/>
    <mergeCell ref="A24:A25"/>
    <mergeCell ref="B24:B25"/>
    <mergeCell ref="C24:C25"/>
    <mergeCell ref="AP24:AP25"/>
    <mergeCell ref="A18:A19"/>
    <mergeCell ref="B18:B19"/>
    <mergeCell ref="C18:C19"/>
    <mergeCell ref="AP18:AP19"/>
    <mergeCell ref="A20:A21"/>
    <mergeCell ref="B20:B21"/>
    <mergeCell ref="C20:C21"/>
    <mergeCell ref="AP20:AP21"/>
    <mergeCell ref="A14:A15"/>
    <mergeCell ref="B14:B15"/>
    <mergeCell ref="C14:C15"/>
    <mergeCell ref="AP14:AP15"/>
    <mergeCell ref="A16:A17"/>
    <mergeCell ref="B16:B17"/>
    <mergeCell ref="C16:C17"/>
    <mergeCell ref="AP16:AP17"/>
    <mergeCell ref="AP10:AP11"/>
    <mergeCell ref="A12:A13"/>
    <mergeCell ref="B12:B13"/>
    <mergeCell ref="C12:C13"/>
    <mergeCell ref="AP12:AP13"/>
    <mergeCell ref="AL6:AL8"/>
    <mergeCell ref="AM6:AM8"/>
    <mergeCell ref="AN6:AN8"/>
    <mergeCell ref="A10:A11"/>
    <mergeCell ref="B10:B11"/>
    <mergeCell ref="C10:C11"/>
    <mergeCell ref="A1:K1"/>
    <mergeCell ref="A2:J2"/>
    <mergeCell ref="A3:J3"/>
    <mergeCell ref="A4:AP4"/>
    <mergeCell ref="A5:A8"/>
    <mergeCell ref="B5:B8"/>
    <mergeCell ref="C5:C8"/>
    <mergeCell ref="D5:AH6"/>
    <mergeCell ref="AI5:AK5"/>
    <mergeCell ref="AL5:AN5"/>
    <mergeCell ref="AO5:AO8"/>
    <mergeCell ref="AP5:AP8"/>
    <mergeCell ref="AI6:AI8"/>
    <mergeCell ref="AJ6:AJ8"/>
    <mergeCell ref="AK6:AK8"/>
  </mergeCells>
  <printOptions horizontalCentered="1"/>
  <pageMargins left="0.17" right="0.17" top="0.42" bottom="0.14000000000000001" header="0.17" footer="0.11"/>
  <pageSetup paperSize="9" scale="60" orientation="landscape" r:id="rId1"/>
  <rowBreaks count="1" manualBreakCount="1">
    <brk id="44" max="4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O29"/>
  <sheetViews>
    <sheetView workbookViewId="0">
      <selection activeCell="I24" sqref="I24"/>
    </sheetView>
  </sheetViews>
  <sheetFormatPr defaultRowHeight="13.8"/>
  <cols>
    <col min="1" max="1" width="4.5" customWidth="1"/>
    <col min="2" max="2" width="0" hidden="1" customWidth="1"/>
    <col min="3" max="3" width="14" customWidth="1"/>
    <col min="6" max="6" width="6" customWidth="1"/>
    <col min="15" max="15" width="12" customWidth="1"/>
  </cols>
  <sheetData>
    <row r="1" spans="1:15">
      <c r="A1" s="56" t="s">
        <v>95</v>
      </c>
      <c r="E1" s="57"/>
      <c r="L1" s="53" t="s">
        <v>5</v>
      </c>
    </row>
    <row r="2" spans="1:15">
      <c r="A2" s="56" t="s">
        <v>96</v>
      </c>
      <c r="E2" s="57"/>
      <c r="L2" s="54" t="s">
        <v>90</v>
      </c>
    </row>
    <row r="3" spans="1:15" ht="17.399999999999999">
      <c r="A3" s="571" t="s">
        <v>105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</row>
    <row r="5" spans="1:15" ht="24.75" customHeight="1">
      <c r="A5" s="572" t="s">
        <v>0</v>
      </c>
      <c r="B5" s="58"/>
      <c r="C5" s="574" t="s">
        <v>8</v>
      </c>
      <c r="D5" s="575"/>
      <c r="E5" s="572" t="s">
        <v>97</v>
      </c>
      <c r="F5" s="572" t="s">
        <v>98</v>
      </c>
      <c r="G5" s="578" t="s">
        <v>99</v>
      </c>
      <c r="H5" s="578"/>
      <c r="I5" s="578"/>
      <c r="J5" s="578" t="s">
        <v>17</v>
      </c>
      <c r="K5" s="578" t="s">
        <v>100</v>
      </c>
      <c r="L5" s="578"/>
      <c r="M5" s="578"/>
      <c r="N5" s="578" t="s">
        <v>17</v>
      </c>
      <c r="O5" s="578" t="s">
        <v>101</v>
      </c>
    </row>
    <row r="6" spans="1:15" ht="30.15" customHeight="1">
      <c r="A6" s="573"/>
      <c r="B6" s="59"/>
      <c r="C6" s="576"/>
      <c r="D6" s="577"/>
      <c r="E6" s="573"/>
      <c r="F6" s="573"/>
      <c r="G6" s="59" t="s">
        <v>76</v>
      </c>
      <c r="H6" s="59" t="s">
        <v>77</v>
      </c>
      <c r="I6" s="59" t="s">
        <v>102</v>
      </c>
      <c r="J6" s="578"/>
      <c r="K6" s="59" t="s">
        <v>103</v>
      </c>
      <c r="L6" s="59" t="s">
        <v>104</v>
      </c>
      <c r="M6" s="59" t="s">
        <v>102</v>
      </c>
      <c r="N6" s="578"/>
      <c r="O6" s="578"/>
    </row>
    <row r="7" spans="1:15" ht="15.6">
      <c r="A7" s="64">
        <v>1</v>
      </c>
      <c r="B7" s="29" t="s">
        <v>32</v>
      </c>
      <c r="C7" s="20" t="s">
        <v>23</v>
      </c>
      <c r="D7" s="21" t="s">
        <v>33</v>
      </c>
      <c r="E7" s="24" t="s">
        <v>39</v>
      </c>
      <c r="F7" s="30">
        <v>4.51</v>
      </c>
      <c r="G7" s="60">
        <f>ROUND(F7*1350000*6%,0)</f>
        <v>365310</v>
      </c>
      <c r="H7" s="60">
        <f>ROUND(F7*1350000*1.5%,0)</f>
        <v>91328</v>
      </c>
      <c r="I7" s="60">
        <f>ROUND(F7*1350000*1%,0)</f>
        <v>60885</v>
      </c>
      <c r="J7" s="60">
        <f>SUM(G7:I7)</f>
        <v>517523</v>
      </c>
      <c r="K7" s="60">
        <f>ROUND(F7*1350000*16%,0)</f>
        <v>974160</v>
      </c>
      <c r="L7" s="60">
        <f>ROUND(F7*1350000*3%,0)</f>
        <v>182655</v>
      </c>
      <c r="M7" s="60">
        <f>ROUND(F7*1350000*1%,0)</f>
        <v>60885</v>
      </c>
      <c r="N7" s="60">
        <f>SUM(K7:M7)</f>
        <v>1217700</v>
      </c>
      <c r="O7" s="61"/>
    </row>
    <row r="8" spans="1:15" ht="15.6">
      <c r="A8" s="65">
        <f>A7+1</f>
        <v>2</v>
      </c>
      <c r="B8" s="11" t="s">
        <v>38</v>
      </c>
      <c r="C8" s="22" t="s">
        <v>34</v>
      </c>
      <c r="D8" s="21" t="s">
        <v>35</v>
      </c>
      <c r="E8" s="36" t="s">
        <v>40</v>
      </c>
      <c r="F8" s="32">
        <v>3.33</v>
      </c>
      <c r="G8" s="31">
        <f t="shared" ref="G8:G25" si="0">ROUND(F8*1350000*6%,0)</f>
        <v>269730</v>
      </c>
      <c r="H8" s="31">
        <f t="shared" ref="H8:H25" si="1">ROUND(F8*1350000*1.5%,0)</f>
        <v>67433</v>
      </c>
      <c r="I8" s="31">
        <f t="shared" ref="I8:I25" si="2">ROUND(F8*1350000*1%,0)</f>
        <v>44955</v>
      </c>
      <c r="J8" s="31">
        <f t="shared" ref="J8:J25" si="3">SUM(G8:I8)</f>
        <v>382118</v>
      </c>
      <c r="K8" s="31">
        <f t="shared" ref="K8:K25" si="4">ROUND(F8*1350000*16%,0)</f>
        <v>719280</v>
      </c>
      <c r="L8" s="31">
        <f t="shared" ref="L8:L25" si="5">ROUND(F8*1350000*3%,0)</f>
        <v>134865</v>
      </c>
      <c r="M8" s="31">
        <f t="shared" ref="M8:M25" si="6">ROUND(F8*1350000*1%,0)</f>
        <v>44955</v>
      </c>
      <c r="N8" s="31">
        <f t="shared" ref="N8:N25" si="7">SUM(K8:M8)</f>
        <v>899100</v>
      </c>
      <c r="O8" s="62"/>
    </row>
    <row r="9" spans="1:15" ht="15.6">
      <c r="A9" s="65">
        <f>A8+1</f>
        <v>3</v>
      </c>
      <c r="B9" s="23" t="s">
        <v>66</v>
      </c>
      <c r="C9" s="20" t="s">
        <v>67</v>
      </c>
      <c r="D9" s="21" t="s">
        <v>68</v>
      </c>
      <c r="E9" s="24" t="s">
        <v>69</v>
      </c>
      <c r="F9" s="30">
        <f>3.33</f>
        <v>3.33</v>
      </c>
      <c r="G9" s="31">
        <f t="shared" si="0"/>
        <v>269730</v>
      </c>
      <c r="H9" s="31">
        <f t="shared" si="1"/>
        <v>67433</v>
      </c>
      <c r="I9" s="31">
        <f t="shared" si="2"/>
        <v>44955</v>
      </c>
      <c r="J9" s="31">
        <f t="shared" si="3"/>
        <v>382118</v>
      </c>
      <c r="K9" s="31">
        <f t="shared" si="4"/>
        <v>719280</v>
      </c>
      <c r="L9" s="31">
        <f t="shared" si="5"/>
        <v>134865</v>
      </c>
      <c r="M9" s="31">
        <f t="shared" si="6"/>
        <v>44955</v>
      </c>
      <c r="N9" s="31">
        <f t="shared" si="7"/>
        <v>899100</v>
      </c>
      <c r="O9" s="62"/>
    </row>
    <row r="10" spans="1:15" ht="15.6">
      <c r="A10" s="65">
        <f t="shared" ref="A10:A25" si="8">A9+1</f>
        <v>4</v>
      </c>
      <c r="B10" s="37" t="s">
        <v>71</v>
      </c>
      <c r="C10" s="22" t="s">
        <v>72</v>
      </c>
      <c r="D10" s="38" t="s">
        <v>73</v>
      </c>
      <c r="E10" s="39" t="s">
        <v>82</v>
      </c>
      <c r="F10" s="48">
        <v>2.37</v>
      </c>
      <c r="G10" s="31">
        <f t="shared" si="0"/>
        <v>191970</v>
      </c>
      <c r="H10" s="31">
        <f t="shared" si="1"/>
        <v>47993</v>
      </c>
      <c r="I10" s="31">
        <f t="shared" si="2"/>
        <v>31995</v>
      </c>
      <c r="J10" s="31">
        <f t="shared" si="3"/>
        <v>271958</v>
      </c>
      <c r="K10" s="31">
        <f t="shared" si="4"/>
        <v>511920</v>
      </c>
      <c r="L10" s="31">
        <f t="shared" si="5"/>
        <v>95985</v>
      </c>
      <c r="M10" s="31">
        <f t="shared" si="6"/>
        <v>31995</v>
      </c>
      <c r="N10" s="31">
        <f t="shared" si="7"/>
        <v>639900</v>
      </c>
      <c r="O10" s="62"/>
    </row>
    <row r="11" spans="1:15" ht="15.6">
      <c r="A11" s="65">
        <f t="shared" si="8"/>
        <v>5</v>
      </c>
      <c r="B11" s="19" t="s">
        <v>30</v>
      </c>
      <c r="C11" s="25" t="s">
        <v>29</v>
      </c>
      <c r="D11" s="26" t="s">
        <v>28</v>
      </c>
      <c r="E11" s="27" t="s">
        <v>20</v>
      </c>
      <c r="F11" s="35">
        <v>2.4</v>
      </c>
      <c r="G11" s="31">
        <f t="shared" si="0"/>
        <v>194400</v>
      </c>
      <c r="H11" s="31">
        <f t="shared" si="1"/>
        <v>48600</v>
      </c>
      <c r="I11" s="31">
        <f t="shared" si="2"/>
        <v>32400</v>
      </c>
      <c r="J11" s="31">
        <f t="shared" si="3"/>
        <v>275400</v>
      </c>
      <c r="K11" s="31">
        <f t="shared" si="4"/>
        <v>518400</v>
      </c>
      <c r="L11" s="31">
        <f t="shared" si="5"/>
        <v>97200</v>
      </c>
      <c r="M11" s="31">
        <f t="shared" si="6"/>
        <v>32400</v>
      </c>
      <c r="N11" s="31">
        <f t="shared" si="7"/>
        <v>648000</v>
      </c>
      <c r="O11" s="62"/>
    </row>
    <row r="12" spans="1:15" ht="15.6">
      <c r="A12" s="65">
        <f t="shared" si="8"/>
        <v>6</v>
      </c>
      <c r="B12" s="19" t="s">
        <v>27</v>
      </c>
      <c r="C12" s="20" t="s">
        <v>26</v>
      </c>
      <c r="D12" s="21" t="s">
        <v>25</v>
      </c>
      <c r="E12" s="27" t="s">
        <v>89</v>
      </c>
      <c r="F12" s="30">
        <v>2.4</v>
      </c>
      <c r="G12" s="31">
        <f t="shared" si="0"/>
        <v>194400</v>
      </c>
      <c r="H12" s="31">
        <f t="shared" si="1"/>
        <v>48600</v>
      </c>
      <c r="I12" s="31">
        <f t="shared" si="2"/>
        <v>32400</v>
      </c>
      <c r="J12" s="31">
        <f t="shared" si="3"/>
        <v>275400</v>
      </c>
      <c r="K12" s="31">
        <f t="shared" si="4"/>
        <v>518400</v>
      </c>
      <c r="L12" s="31">
        <f t="shared" si="5"/>
        <v>97200</v>
      </c>
      <c r="M12" s="31">
        <f t="shared" si="6"/>
        <v>32400</v>
      </c>
      <c r="N12" s="31">
        <f t="shared" si="7"/>
        <v>648000</v>
      </c>
      <c r="O12" s="62"/>
    </row>
    <row r="13" spans="1:15" ht="15.6">
      <c r="A13" s="65">
        <f t="shared" si="8"/>
        <v>7</v>
      </c>
      <c r="B13" s="34">
        <v>7908489972</v>
      </c>
      <c r="C13" s="20" t="s">
        <v>36</v>
      </c>
      <c r="D13" s="21" t="s">
        <v>31</v>
      </c>
      <c r="E13" s="27" t="s">
        <v>20</v>
      </c>
      <c r="F13" s="30">
        <v>1.65</v>
      </c>
      <c r="G13" s="31">
        <f t="shared" si="0"/>
        <v>133650</v>
      </c>
      <c r="H13" s="31">
        <f t="shared" si="1"/>
        <v>33413</v>
      </c>
      <c r="I13" s="31">
        <f t="shared" si="2"/>
        <v>22275</v>
      </c>
      <c r="J13" s="31">
        <f t="shared" si="3"/>
        <v>189338</v>
      </c>
      <c r="K13" s="31">
        <f t="shared" si="4"/>
        <v>356400</v>
      </c>
      <c r="L13" s="31">
        <f t="shared" si="5"/>
        <v>66825</v>
      </c>
      <c r="M13" s="31">
        <f t="shared" si="6"/>
        <v>22275</v>
      </c>
      <c r="N13" s="31">
        <f t="shared" si="7"/>
        <v>445500</v>
      </c>
      <c r="O13" s="62"/>
    </row>
    <row r="14" spans="1:15" ht="15.6">
      <c r="A14" s="65">
        <f t="shared" si="8"/>
        <v>8</v>
      </c>
      <c r="B14" s="51" t="s">
        <v>86</v>
      </c>
      <c r="C14" s="20" t="s">
        <v>87</v>
      </c>
      <c r="D14" s="21" t="s">
        <v>88</v>
      </c>
      <c r="E14" s="27" t="s">
        <v>20</v>
      </c>
      <c r="F14" s="52">
        <v>1.65</v>
      </c>
      <c r="G14" s="31">
        <f t="shared" si="0"/>
        <v>133650</v>
      </c>
      <c r="H14" s="31">
        <f t="shared" si="1"/>
        <v>33413</v>
      </c>
      <c r="I14" s="31">
        <f t="shared" si="2"/>
        <v>22275</v>
      </c>
      <c r="J14" s="31">
        <f t="shared" si="3"/>
        <v>189338</v>
      </c>
      <c r="K14" s="31">
        <f t="shared" si="4"/>
        <v>356400</v>
      </c>
      <c r="L14" s="31">
        <f t="shared" si="5"/>
        <v>66825</v>
      </c>
      <c r="M14" s="31">
        <f t="shared" si="6"/>
        <v>22275</v>
      </c>
      <c r="N14" s="31">
        <f t="shared" si="7"/>
        <v>445500</v>
      </c>
      <c r="O14" s="62"/>
    </row>
    <row r="15" spans="1:15" ht="15.6">
      <c r="A15" s="65">
        <f t="shared" si="8"/>
        <v>9</v>
      </c>
      <c r="B15" s="34" t="s">
        <v>41</v>
      </c>
      <c r="C15" s="20" t="s">
        <v>43</v>
      </c>
      <c r="D15" s="21" t="s">
        <v>44</v>
      </c>
      <c r="E15" s="27" t="s">
        <v>20</v>
      </c>
      <c r="F15" s="30">
        <v>1.65</v>
      </c>
      <c r="G15" s="31">
        <f t="shared" si="0"/>
        <v>133650</v>
      </c>
      <c r="H15" s="31">
        <f t="shared" si="1"/>
        <v>33413</v>
      </c>
      <c r="I15" s="31">
        <f t="shared" si="2"/>
        <v>22275</v>
      </c>
      <c r="J15" s="31">
        <f t="shared" si="3"/>
        <v>189338</v>
      </c>
      <c r="K15" s="31">
        <f t="shared" si="4"/>
        <v>356400</v>
      </c>
      <c r="L15" s="31">
        <f t="shared" si="5"/>
        <v>66825</v>
      </c>
      <c r="M15" s="31">
        <f t="shared" si="6"/>
        <v>22275</v>
      </c>
      <c r="N15" s="31">
        <f t="shared" si="7"/>
        <v>445500</v>
      </c>
      <c r="O15" s="62"/>
    </row>
    <row r="16" spans="1:15" ht="15.6">
      <c r="A16" s="65">
        <f t="shared" si="8"/>
        <v>10</v>
      </c>
      <c r="B16" s="34" t="s">
        <v>42</v>
      </c>
      <c r="C16" s="20" t="s">
        <v>37</v>
      </c>
      <c r="D16" s="21" t="s">
        <v>45</v>
      </c>
      <c r="E16" s="27" t="s">
        <v>20</v>
      </c>
      <c r="F16" s="30">
        <v>1.65</v>
      </c>
      <c r="G16" s="31">
        <f t="shared" si="0"/>
        <v>133650</v>
      </c>
      <c r="H16" s="31">
        <f t="shared" si="1"/>
        <v>33413</v>
      </c>
      <c r="I16" s="31">
        <f t="shared" si="2"/>
        <v>22275</v>
      </c>
      <c r="J16" s="31">
        <f t="shared" si="3"/>
        <v>189338</v>
      </c>
      <c r="K16" s="31">
        <f t="shared" si="4"/>
        <v>356400</v>
      </c>
      <c r="L16" s="31">
        <f t="shared" si="5"/>
        <v>66825</v>
      </c>
      <c r="M16" s="31">
        <f t="shared" si="6"/>
        <v>22275</v>
      </c>
      <c r="N16" s="31">
        <f t="shared" si="7"/>
        <v>445500</v>
      </c>
      <c r="O16" s="62"/>
    </row>
    <row r="17" spans="1:15" ht="15.6">
      <c r="A17" s="65">
        <f t="shared" si="8"/>
        <v>11</v>
      </c>
      <c r="B17" s="34" t="s">
        <v>63</v>
      </c>
      <c r="C17" s="20" t="s">
        <v>74</v>
      </c>
      <c r="D17" s="21" t="s">
        <v>75</v>
      </c>
      <c r="E17" s="27" t="s">
        <v>20</v>
      </c>
      <c r="F17" s="30">
        <v>1.65</v>
      </c>
      <c r="G17" s="31">
        <f t="shared" si="0"/>
        <v>133650</v>
      </c>
      <c r="H17" s="31">
        <f t="shared" si="1"/>
        <v>33413</v>
      </c>
      <c r="I17" s="31">
        <f t="shared" si="2"/>
        <v>22275</v>
      </c>
      <c r="J17" s="31">
        <f t="shared" si="3"/>
        <v>189338</v>
      </c>
      <c r="K17" s="31">
        <f t="shared" si="4"/>
        <v>356400</v>
      </c>
      <c r="L17" s="31">
        <f t="shared" si="5"/>
        <v>66825</v>
      </c>
      <c r="M17" s="31">
        <f t="shared" si="6"/>
        <v>22275</v>
      </c>
      <c r="N17" s="31">
        <f t="shared" si="7"/>
        <v>445500</v>
      </c>
      <c r="O17" s="62"/>
    </row>
    <row r="18" spans="1:15" ht="15.6">
      <c r="A18" s="65">
        <f t="shared" si="8"/>
        <v>12</v>
      </c>
      <c r="B18" s="34" t="s">
        <v>70</v>
      </c>
      <c r="C18" s="20" t="s">
        <v>46</v>
      </c>
      <c r="D18" s="21" t="s">
        <v>24</v>
      </c>
      <c r="E18" s="27" t="s">
        <v>20</v>
      </c>
      <c r="F18" s="50">
        <v>1.65</v>
      </c>
      <c r="G18" s="31">
        <f t="shared" si="0"/>
        <v>133650</v>
      </c>
      <c r="H18" s="31">
        <f t="shared" si="1"/>
        <v>33413</v>
      </c>
      <c r="I18" s="31">
        <f t="shared" si="2"/>
        <v>22275</v>
      </c>
      <c r="J18" s="31">
        <f t="shared" si="3"/>
        <v>189338</v>
      </c>
      <c r="K18" s="31">
        <f t="shared" si="4"/>
        <v>356400</v>
      </c>
      <c r="L18" s="31">
        <f t="shared" si="5"/>
        <v>66825</v>
      </c>
      <c r="M18" s="31">
        <f t="shared" si="6"/>
        <v>22275</v>
      </c>
      <c r="N18" s="31">
        <f t="shared" si="7"/>
        <v>445500</v>
      </c>
      <c r="O18" s="62"/>
    </row>
    <row r="19" spans="1:15" ht="15.6">
      <c r="A19" s="65">
        <f t="shared" si="8"/>
        <v>13</v>
      </c>
      <c r="B19" s="34" t="s">
        <v>80</v>
      </c>
      <c r="C19" s="20" t="s">
        <v>79</v>
      </c>
      <c r="D19" s="21" t="s">
        <v>78</v>
      </c>
      <c r="E19" s="27" t="s">
        <v>20</v>
      </c>
      <c r="F19" s="50">
        <v>1.65</v>
      </c>
      <c r="G19" s="31">
        <f t="shared" si="0"/>
        <v>133650</v>
      </c>
      <c r="H19" s="31">
        <f t="shared" si="1"/>
        <v>33413</v>
      </c>
      <c r="I19" s="31">
        <f t="shared" si="2"/>
        <v>22275</v>
      </c>
      <c r="J19" s="31">
        <f t="shared" si="3"/>
        <v>189338</v>
      </c>
      <c r="K19" s="31">
        <f t="shared" si="4"/>
        <v>356400</v>
      </c>
      <c r="L19" s="31">
        <f t="shared" si="5"/>
        <v>66825</v>
      </c>
      <c r="M19" s="31">
        <f t="shared" si="6"/>
        <v>22275</v>
      </c>
      <c r="N19" s="31">
        <f t="shared" si="7"/>
        <v>445500</v>
      </c>
      <c r="O19" s="62"/>
    </row>
    <row r="20" spans="1:15" ht="15.6">
      <c r="A20" s="65">
        <f t="shared" si="8"/>
        <v>14</v>
      </c>
      <c r="B20" s="34" t="s">
        <v>50</v>
      </c>
      <c r="C20" s="20" t="s">
        <v>47</v>
      </c>
      <c r="D20" s="76" t="s">
        <v>48</v>
      </c>
      <c r="E20" s="27" t="s">
        <v>49</v>
      </c>
      <c r="F20" s="30">
        <v>1.18</v>
      </c>
      <c r="G20" s="31">
        <f t="shared" si="0"/>
        <v>95580</v>
      </c>
      <c r="H20" s="31">
        <f t="shared" si="1"/>
        <v>23895</v>
      </c>
      <c r="I20" s="31">
        <f t="shared" si="2"/>
        <v>15930</v>
      </c>
      <c r="J20" s="31">
        <f t="shared" si="3"/>
        <v>135405</v>
      </c>
      <c r="K20" s="31">
        <f t="shared" si="4"/>
        <v>254880</v>
      </c>
      <c r="L20" s="31">
        <f t="shared" si="5"/>
        <v>47790</v>
      </c>
      <c r="M20" s="31">
        <f t="shared" si="6"/>
        <v>15930</v>
      </c>
      <c r="N20" s="31">
        <f t="shared" si="7"/>
        <v>318600</v>
      </c>
      <c r="O20" s="62"/>
    </row>
    <row r="21" spans="1:15" ht="15.6">
      <c r="A21" s="65">
        <f t="shared" si="8"/>
        <v>15</v>
      </c>
      <c r="B21" s="34" t="s">
        <v>51</v>
      </c>
      <c r="C21" s="20" t="s">
        <v>85</v>
      </c>
      <c r="D21" s="76" t="s">
        <v>52</v>
      </c>
      <c r="E21" s="27" t="s">
        <v>49</v>
      </c>
      <c r="F21" s="30">
        <v>1.18</v>
      </c>
      <c r="G21" s="31">
        <f t="shared" si="0"/>
        <v>95580</v>
      </c>
      <c r="H21" s="31">
        <f t="shared" si="1"/>
        <v>23895</v>
      </c>
      <c r="I21" s="31">
        <f t="shared" si="2"/>
        <v>15930</v>
      </c>
      <c r="J21" s="31">
        <f t="shared" si="3"/>
        <v>135405</v>
      </c>
      <c r="K21" s="31">
        <f t="shared" si="4"/>
        <v>254880</v>
      </c>
      <c r="L21" s="31">
        <f t="shared" si="5"/>
        <v>47790</v>
      </c>
      <c r="M21" s="31">
        <f t="shared" si="6"/>
        <v>15930</v>
      </c>
      <c r="N21" s="31">
        <f t="shared" si="7"/>
        <v>318600</v>
      </c>
      <c r="O21" s="62"/>
    </row>
    <row r="22" spans="1:15" ht="15.6">
      <c r="A22" s="65">
        <f t="shared" si="8"/>
        <v>16</v>
      </c>
      <c r="B22" s="34" t="s">
        <v>59</v>
      </c>
      <c r="C22" s="20" t="s">
        <v>54</v>
      </c>
      <c r="D22" s="76" t="s">
        <v>53</v>
      </c>
      <c r="E22" s="27" t="s">
        <v>49</v>
      </c>
      <c r="F22" s="30">
        <v>1.18</v>
      </c>
      <c r="G22" s="31">
        <f t="shared" si="0"/>
        <v>95580</v>
      </c>
      <c r="H22" s="31">
        <f t="shared" si="1"/>
        <v>23895</v>
      </c>
      <c r="I22" s="31">
        <f t="shared" si="2"/>
        <v>15930</v>
      </c>
      <c r="J22" s="31">
        <f t="shared" si="3"/>
        <v>135405</v>
      </c>
      <c r="K22" s="31">
        <f t="shared" si="4"/>
        <v>254880</v>
      </c>
      <c r="L22" s="31">
        <f t="shared" si="5"/>
        <v>47790</v>
      </c>
      <c r="M22" s="31">
        <f t="shared" si="6"/>
        <v>15930</v>
      </c>
      <c r="N22" s="31">
        <f t="shared" si="7"/>
        <v>318600</v>
      </c>
      <c r="O22" s="62"/>
    </row>
    <row r="23" spans="1:15" ht="15.6">
      <c r="A23" s="65">
        <f t="shared" si="8"/>
        <v>17</v>
      </c>
      <c r="B23" s="34" t="s">
        <v>60</v>
      </c>
      <c r="C23" s="20" t="s">
        <v>84</v>
      </c>
      <c r="D23" s="76" t="s">
        <v>56</v>
      </c>
      <c r="E23" s="27" t="s">
        <v>49</v>
      </c>
      <c r="F23" s="30">
        <v>1.18</v>
      </c>
      <c r="G23" s="31">
        <f t="shared" si="0"/>
        <v>95580</v>
      </c>
      <c r="H23" s="31">
        <f t="shared" si="1"/>
        <v>23895</v>
      </c>
      <c r="I23" s="31">
        <f t="shared" si="2"/>
        <v>15930</v>
      </c>
      <c r="J23" s="31">
        <f t="shared" si="3"/>
        <v>135405</v>
      </c>
      <c r="K23" s="31">
        <f t="shared" si="4"/>
        <v>254880</v>
      </c>
      <c r="L23" s="31">
        <f t="shared" si="5"/>
        <v>47790</v>
      </c>
      <c r="M23" s="31">
        <f t="shared" si="6"/>
        <v>15930</v>
      </c>
      <c r="N23" s="31">
        <f t="shared" si="7"/>
        <v>318600</v>
      </c>
      <c r="O23" s="62"/>
    </row>
    <row r="24" spans="1:15" ht="15.6">
      <c r="A24" s="65">
        <f t="shared" si="8"/>
        <v>18</v>
      </c>
      <c r="B24" s="34" t="s">
        <v>61</v>
      </c>
      <c r="C24" s="20" t="s">
        <v>83</v>
      </c>
      <c r="D24" s="76" t="s">
        <v>58</v>
      </c>
      <c r="E24" s="27" t="s">
        <v>49</v>
      </c>
      <c r="F24" s="30">
        <v>1.18</v>
      </c>
      <c r="G24" s="31">
        <f t="shared" si="0"/>
        <v>95580</v>
      </c>
      <c r="H24" s="31">
        <f t="shared" si="1"/>
        <v>23895</v>
      </c>
      <c r="I24" s="31">
        <f t="shared" si="2"/>
        <v>15930</v>
      </c>
      <c r="J24" s="31">
        <f t="shared" si="3"/>
        <v>135405</v>
      </c>
      <c r="K24" s="31">
        <f t="shared" si="4"/>
        <v>254880</v>
      </c>
      <c r="L24" s="31">
        <f t="shared" si="5"/>
        <v>47790</v>
      </c>
      <c r="M24" s="31">
        <f t="shared" si="6"/>
        <v>15930</v>
      </c>
      <c r="N24" s="31">
        <f t="shared" si="7"/>
        <v>318600</v>
      </c>
      <c r="O24" s="62"/>
    </row>
    <row r="25" spans="1:15" ht="15.6">
      <c r="A25" s="65">
        <f t="shared" si="8"/>
        <v>19</v>
      </c>
      <c r="B25" s="66" t="s">
        <v>62</v>
      </c>
      <c r="C25" s="67" t="s">
        <v>64</v>
      </c>
      <c r="D25" s="77" t="s">
        <v>65</v>
      </c>
      <c r="E25" s="68" t="s">
        <v>49</v>
      </c>
      <c r="F25" s="73">
        <v>1.18</v>
      </c>
      <c r="G25" s="69">
        <f t="shared" si="0"/>
        <v>95580</v>
      </c>
      <c r="H25" s="69">
        <f t="shared" si="1"/>
        <v>23895</v>
      </c>
      <c r="I25" s="31">
        <f t="shared" si="2"/>
        <v>15930</v>
      </c>
      <c r="J25" s="31">
        <f t="shared" si="3"/>
        <v>135405</v>
      </c>
      <c r="K25" s="31">
        <f t="shared" si="4"/>
        <v>254880</v>
      </c>
      <c r="L25" s="31">
        <f t="shared" si="5"/>
        <v>47790</v>
      </c>
      <c r="M25" s="31">
        <f t="shared" si="6"/>
        <v>15930</v>
      </c>
      <c r="N25" s="31">
        <f t="shared" si="7"/>
        <v>318600</v>
      </c>
      <c r="O25" s="63"/>
    </row>
    <row r="26" spans="1:15">
      <c r="A26" s="70"/>
      <c r="B26" s="70"/>
      <c r="C26" s="71" t="s">
        <v>18</v>
      </c>
      <c r="D26" s="71"/>
      <c r="E26" s="71"/>
      <c r="F26" s="72">
        <f t="shared" ref="F26:M26" si="9">SUM(F7:F25)</f>
        <v>36.969999999999992</v>
      </c>
      <c r="G26" s="74">
        <f t="shared" si="9"/>
        <v>2994570</v>
      </c>
      <c r="H26" s="74">
        <f t="shared" si="9"/>
        <v>748648</v>
      </c>
      <c r="I26" s="74">
        <f t="shared" si="9"/>
        <v>499095</v>
      </c>
      <c r="J26" s="74">
        <f t="shared" si="9"/>
        <v>4242313</v>
      </c>
      <c r="K26" s="74">
        <f t="shared" si="9"/>
        <v>7985520</v>
      </c>
      <c r="L26" s="74">
        <f t="shared" si="9"/>
        <v>1497285</v>
      </c>
      <c r="M26" s="74">
        <f t="shared" si="9"/>
        <v>499095</v>
      </c>
      <c r="N26" s="74">
        <f>SUM(N7:N25)</f>
        <v>9981900</v>
      </c>
      <c r="O26" s="74"/>
    </row>
    <row r="28" spans="1:15">
      <c r="L28" s="75" t="s">
        <v>106</v>
      </c>
    </row>
    <row r="29" spans="1:15">
      <c r="L29" s="49" t="s">
        <v>4</v>
      </c>
    </row>
  </sheetData>
  <mergeCells count="10">
    <mergeCell ref="A3:O3"/>
    <mergeCell ref="A5:A6"/>
    <mergeCell ref="C5:D6"/>
    <mergeCell ref="E5:E6"/>
    <mergeCell ref="F5:F6"/>
    <mergeCell ref="G5:I5"/>
    <mergeCell ref="J5:J6"/>
    <mergeCell ref="K5:M5"/>
    <mergeCell ref="N5:N6"/>
    <mergeCell ref="O5:O6"/>
  </mergeCells>
  <phoneticPr fontId="22" type="noConversion"/>
  <printOptions horizontalCentered="1"/>
  <pageMargins left="0.5" right="0.25" top="0.5" bottom="0.5" header="0.25" footer="0.2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92D050"/>
  </sheetPr>
  <dimension ref="A1:J88"/>
  <sheetViews>
    <sheetView topLeftCell="A34" workbookViewId="0">
      <pane ySplit="1968" topLeftCell="A25" activePane="bottomLeft"/>
      <selection activeCell="C6" sqref="C6:D7"/>
      <selection pane="bottomLeft" activeCell="C6" sqref="C6:D7"/>
    </sheetView>
  </sheetViews>
  <sheetFormatPr defaultColWidth="9" defaultRowHeight="15.6"/>
  <cols>
    <col min="1" max="1" width="5.69921875" style="1" customWidth="1"/>
    <col min="2" max="2" width="5.19921875" style="1" customWidth="1"/>
    <col min="3" max="3" width="25.09765625" style="1" customWidth="1"/>
    <col min="4" max="4" width="13.5" style="1" customWidth="1"/>
    <col min="5" max="5" width="14.8984375" style="1" customWidth="1"/>
    <col min="6" max="6" width="10.5" style="45" hidden="1" customWidth="1"/>
    <col min="7" max="7" width="13.59765625" style="220" hidden="1" customWidth="1"/>
    <col min="8" max="8" width="29.19921875" style="220" customWidth="1"/>
    <col min="9" max="9" width="14.8984375" style="91" customWidth="1"/>
    <col min="10" max="10" width="14.09765625" style="1" customWidth="1"/>
    <col min="11" max="16384" width="9" style="1"/>
  </cols>
  <sheetData>
    <row r="1" spans="1:10" ht="19.95" customHeight="1">
      <c r="A1" s="589" t="s">
        <v>172</v>
      </c>
      <c r="B1" s="589"/>
      <c r="C1" s="589"/>
      <c r="D1" s="589"/>
      <c r="F1" s="590" t="s">
        <v>5</v>
      </c>
      <c r="G1" s="590"/>
      <c r="H1" s="590"/>
    </row>
    <row r="2" spans="1:10" ht="18" customHeight="1">
      <c r="A2" s="591" t="s">
        <v>173</v>
      </c>
      <c r="B2" s="591"/>
      <c r="C2" s="591"/>
      <c r="D2" s="591"/>
      <c r="F2" s="592" t="s">
        <v>6</v>
      </c>
      <c r="G2" s="592"/>
      <c r="H2" s="592"/>
    </row>
    <row r="3" spans="1:10" ht="12.75" customHeight="1">
      <c r="A3" s="462"/>
      <c r="B3" s="462"/>
      <c r="C3" s="462"/>
      <c r="D3" s="462"/>
      <c r="F3" s="593"/>
      <c r="G3" s="593"/>
      <c r="H3" s="593"/>
    </row>
    <row r="4" spans="1:10" ht="26.4" customHeight="1">
      <c r="A4" s="594" t="s">
        <v>183</v>
      </c>
      <c r="B4" s="594"/>
      <c r="C4" s="594"/>
      <c r="D4" s="594"/>
      <c r="E4" s="594"/>
      <c r="F4" s="594"/>
      <c r="G4" s="594"/>
      <c r="H4" s="594"/>
    </row>
    <row r="5" spans="1:10" ht="27.75" customHeight="1" thickBot="1">
      <c r="A5" s="599" t="s">
        <v>182</v>
      </c>
      <c r="B5" s="599"/>
      <c r="C5" s="599"/>
      <c r="D5" s="599"/>
      <c r="E5" s="599"/>
      <c r="F5" s="599"/>
      <c r="G5" s="599"/>
      <c r="H5" s="599"/>
    </row>
    <row r="6" spans="1:10" ht="18.75" customHeight="1" thickTop="1">
      <c r="A6" s="585" t="s">
        <v>0</v>
      </c>
      <c r="B6" s="587"/>
      <c r="C6" s="600" t="s">
        <v>174</v>
      </c>
      <c r="D6" s="601"/>
      <c r="E6" s="587" t="s">
        <v>175</v>
      </c>
      <c r="F6" s="595" t="s">
        <v>176</v>
      </c>
      <c r="G6" s="595" t="s">
        <v>177</v>
      </c>
      <c r="H6" s="597" t="s">
        <v>178</v>
      </c>
      <c r="J6" s="491" t="s">
        <v>143</v>
      </c>
    </row>
    <row r="7" spans="1:10" ht="24.75" customHeight="1" thickBot="1">
      <c r="A7" s="586"/>
      <c r="B7" s="588"/>
      <c r="C7" s="602"/>
      <c r="D7" s="603"/>
      <c r="E7" s="588"/>
      <c r="F7" s="596"/>
      <c r="G7" s="596"/>
      <c r="H7" s="598"/>
      <c r="J7" s="491"/>
    </row>
    <row r="8" spans="1:10" s="8" customFormat="1" ht="12.75" customHeight="1" thickTop="1" thickBot="1">
      <c r="A8" s="14">
        <v>1</v>
      </c>
      <c r="B8" s="15">
        <v>2</v>
      </c>
      <c r="C8" s="468">
        <v>3</v>
      </c>
      <c r="D8" s="469"/>
      <c r="E8" s="16">
        <v>4</v>
      </c>
      <c r="F8" s="293">
        <v>5</v>
      </c>
      <c r="G8" s="294">
        <v>6</v>
      </c>
      <c r="H8" s="295">
        <v>7</v>
      </c>
      <c r="I8" s="92"/>
    </row>
    <row r="9" spans="1:10" s="12" customFormat="1" ht="23.1" customHeight="1" thickTop="1">
      <c r="A9" s="283">
        <v>1</v>
      </c>
      <c r="B9" s="284"/>
      <c r="C9" s="291" t="s">
        <v>34</v>
      </c>
      <c r="D9" s="272" t="s">
        <v>35</v>
      </c>
      <c r="E9" s="285" t="s">
        <v>121</v>
      </c>
      <c r="F9" s="312" t="e">
        <f>#REF!</f>
        <v>#REF!</v>
      </c>
      <c r="G9" s="321" t="e">
        <f>IF(F9*1%&gt;83000,83000,ROUND((F9*1%),-3))</f>
        <v>#REF!</v>
      </c>
      <c r="H9" s="296"/>
      <c r="I9" s="93"/>
      <c r="J9" s="123">
        <f>4400000+185000</f>
        <v>4585000</v>
      </c>
    </row>
    <row r="10" spans="1:10" s="5" customFormat="1" ht="20.25" customHeight="1">
      <c r="A10" s="286">
        <f t="shared" ref="A10:A22" si="0">A9+1</f>
        <v>2</v>
      </c>
      <c r="B10" s="140"/>
      <c r="C10" s="146" t="s">
        <v>108</v>
      </c>
      <c r="D10" s="142" t="s">
        <v>109</v>
      </c>
      <c r="E10" s="147" t="s">
        <v>151</v>
      </c>
      <c r="F10" s="313" t="e">
        <f>#REF!</f>
        <v>#REF!</v>
      </c>
      <c r="G10" s="321" t="e">
        <f t="shared" ref="G10:G22" si="1">IF(F10*1%&gt;83000,83000,ROUND((F10*1%),-3))</f>
        <v>#REF!</v>
      </c>
      <c r="H10" s="298"/>
      <c r="I10" s="126">
        <v>2805000</v>
      </c>
      <c r="J10" s="128">
        <v>3820000</v>
      </c>
    </row>
    <row r="11" spans="1:10" s="5" customFormat="1" ht="18.75" customHeight="1">
      <c r="A11" s="286">
        <f t="shared" si="0"/>
        <v>3</v>
      </c>
      <c r="B11" s="140"/>
      <c r="C11" s="141" t="s">
        <v>29</v>
      </c>
      <c r="D11" s="142" t="s">
        <v>28</v>
      </c>
      <c r="E11" s="100" t="s">
        <v>20</v>
      </c>
      <c r="F11" s="313" t="e">
        <f>#REF!</f>
        <v>#REF!</v>
      </c>
      <c r="G11" s="321" t="e">
        <f t="shared" si="1"/>
        <v>#REF!</v>
      </c>
      <c r="H11" s="298"/>
      <c r="I11" s="126">
        <v>3630000</v>
      </c>
      <c r="J11" s="121">
        <v>3820000</v>
      </c>
    </row>
    <row r="12" spans="1:10" s="5" customFormat="1" ht="19.5" customHeight="1">
      <c r="A12" s="286">
        <f t="shared" si="0"/>
        <v>4</v>
      </c>
      <c r="B12" s="144"/>
      <c r="C12" s="97" t="s">
        <v>112</v>
      </c>
      <c r="D12" s="143" t="s">
        <v>31</v>
      </c>
      <c r="E12" s="100" t="s">
        <v>137</v>
      </c>
      <c r="F12" s="313" t="e">
        <f>#REF!</f>
        <v>#REF!</v>
      </c>
      <c r="G12" s="321" t="e">
        <f t="shared" si="1"/>
        <v>#REF!</v>
      </c>
      <c r="H12" s="298"/>
      <c r="I12" s="126">
        <v>2420000</v>
      </c>
      <c r="J12" s="120">
        <f>3630000+300000</f>
        <v>3930000</v>
      </c>
    </row>
    <row r="13" spans="1:10" s="5" customFormat="1" ht="18.75" customHeight="1">
      <c r="A13" s="286">
        <f t="shared" si="0"/>
        <v>5</v>
      </c>
      <c r="B13" s="140"/>
      <c r="C13" s="97" t="s">
        <v>36</v>
      </c>
      <c r="D13" s="143" t="s">
        <v>31</v>
      </c>
      <c r="E13" s="100" t="s">
        <v>153</v>
      </c>
      <c r="F13" s="313" t="e">
        <f>#REF!</f>
        <v>#REF!</v>
      </c>
      <c r="G13" s="321" t="e">
        <f t="shared" si="1"/>
        <v>#REF!</v>
      </c>
      <c r="H13" s="300"/>
      <c r="I13" s="127">
        <v>2750000</v>
      </c>
      <c r="J13" s="124">
        <f>3300000+110000</f>
        <v>3410000</v>
      </c>
    </row>
    <row r="14" spans="1:10" s="134" customFormat="1" ht="20.25" customHeight="1">
      <c r="A14" s="287">
        <f t="shared" si="0"/>
        <v>6</v>
      </c>
      <c r="B14" s="144"/>
      <c r="C14" s="97" t="s">
        <v>26</v>
      </c>
      <c r="D14" s="143" t="s">
        <v>25</v>
      </c>
      <c r="E14" s="100" t="s">
        <v>145</v>
      </c>
      <c r="F14" s="313" t="e">
        <f>#REF!</f>
        <v>#REF!</v>
      </c>
      <c r="G14" s="321" t="e">
        <f t="shared" si="1"/>
        <v>#REF!</v>
      </c>
      <c r="H14" s="301"/>
      <c r="I14" s="133"/>
      <c r="J14" s="121">
        <v>3630000</v>
      </c>
    </row>
    <row r="15" spans="1:10" s="43" customFormat="1" ht="16.5" customHeight="1">
      <c r="A15" s="286">
        <f t="shared" si="0"/>
        <v>7</v>
      </c>
      <c r="B15" s="145"/>
      <c r="C15" s="97" t="s">
        <v>93</v>
      </c>
      <c r="D15" s="143" t="s">
        <v>94</v>
      </c>
      <c r="E15" s="100" t="s">
        <v>145</v>
      </c>
      <c r="F15" s="313" t="e">
        <f>#REF!</f>
        <v>#REF!</v>
      </c>
      <c r="G15" s="321" t="e">
        <f t="shared" si="1"/>
        <v>#REF!</v>
      </c>
      <c r="H15" s="302"/>
      <c r="I15" s="127">
        <v>2420000</v>
      </c>
      <c r="J15" s="121">
        <v>3630000</v>
      </c>
    </row>
    <row r="16" spans="1:10" s="43" customFormat="1" ht="18" customHeight="1">
      <c r="A16" s="286">
        <f t="shared" si="0"/>
        <v>8</v>
      </c>
      <c r="B16" s="144"/>
      <c r="C16" s="99" t="s">
        <v>167</v>
      </c>
      <c r="D16" s="282" t="s">
        <v>52</v>
      </c>
      <c r="E16" s="100" t="s">
        <v>20</v>
      </c>
      <c r="F16" s="313" t="e">
        <f>#REF!</f>
        <v>#REF!</v>
      </c>
      <c r="G16" s="321" t="e">
        <f t="shared" si="1"/>
        <v>#REF!</v>
      </c>
      <c r="H16" s="298"/>
      <c r="I16" s="126">
        <v>2420000</v>
      </c>
      <c r="J16" s="120">
        <f>3630000+300000</f>
        <v>3930000</v>
      </c>
    </row>
    <row r="17" spans="1:10" s="5" customFormat="1" ht="18" customHeight="1">
      <c r="A17" s="286">
        <f t="shared" si="0"/>
        <v>9</v>
      </c>
      <c r="B17" s="144"/>
      <c r="C17" s="97" t="s">
        <v>47</v>
      </c>
      <c r="D17" s="143" t="s">
        <v>48</v>
      </c>
      <c r="E17" s="100" t="s">
        <v>157</v>
      </c>
      <c r="F17" s="313" t="e">
        <f>#REF!</f>
        <v>#REF!</v>
      </c>
      <c r="G17" s="321" t="e">
        <f t="shared" si="1"/>
        <v>#REF!</v>
      </c>
      <c r="H17" s="298"/>
      <c r="I17" s="126">
        <v>2200000</v>
      </c>
      <c r="J17" s="125">
        <v>2530000</v>
      </c>
    </row>
    <row r="18" spans="1:10" s="5" customFormat="1" ht="18.75" customHeight="1">
      <c r="A18" s="286">
        <f t="shared" si="0"/>
        <v>10</v>
      </c>
      <c r="B18" s="144"/>
      <c r="C18" s="279" t="s">
        <v>54</v>
      </c>
      <c r="D18" s="280" t="s">
        <v>53</v>
      </c>
      <c r="E18" s="281" t="s">
        <v>157</v>
      </c>
      <c r="F18" s="313" t="e">
        <f>#REF!</f>
        <v>#REF!</v>
      </c>
      <c r="G18" s="321" t="e">
        <f t="shared" si="1"/>
        <v>#REF!</v>
      </c>
      <c r="H18" s="298"/>
      <c r="I18" s="126">
        <v>2200000</v>
      </c>
      <c r="J18" s="124">
        <v>2530000</v>
      </c>
    </row>
    <row r="19" spans="1:10" s="5" customFormat="1" ht="15.75" customHeight="1">
      <c r="A19" s="286">
        <f t="shared" si="0"/>
        <v>11</v>
      </c>
      <c r="B19" s="144"/>
      <c r="C19" s="97" t="s">
        <v>84</v>
      </c>
      <c r="D19" s="143" t="s">
        <v>56</v>
      </c>
      <c r="E19" s="100" t="s">
        <v>157</v>
      </c>
      <c r="F19" s="313" t="e">
        <f>#REF!</f>
        <v>#REF!</v>
      </c>
      <c r="G19" s="321" t="e">
        <f t="shared" si="1"/>
        <v>#REF!</v>
      </c>
      <c r="H19" s="298"/>
      <c r="I19" s="126">
        <v>2200000</v>
      </c>
      <c r="J19" s="124">
        <v>2530000</v>
      </c>
    </row>
    <row r="20" spans="1:10" s="5" customFormat="1" ht="18.75" customHeight="1">
      <c r="A20" s="286">
        <f t="shared" si="0"/>
        <v>12</v>
      </c>
      <c r="B20" s="144"/>
      <c r="C20" s="97" t="s">
        <v>83</v>
      </c>
      <c r="D20" s="143" t="s">
        <v>58</v>
      </c>
      <c r="E20" s="100" t="s">
        <v>157</v>
      </c>
      <c r="F20" s="313" t="e">
        <f>#REF!</f>
        <v>#REF!</v>
      </c>
      <c r="G20" s="321" t="e">
        <f t="shared" si="1"/>
        <v>#REF!</v>
      </c>
      <c r="H20" s="298"/>
      <c r="I20" s="126">
        <v>2400000</v>
      </c>
      <c r="J20" s="124">
        <f>2530000+200000</f>
        <v>2730000</v>
      </c>
    </row>
    <row r="21" spans="1:10" s="5" customFormat="1" ht="17.399999999999999" customHeight="1">
      <c r="A21" s="286">
        <f t="shared" si="0"/>
        <v>13</v>
      </c>
      <c r="B21" s="144"/>
      <c r="C21" s="97" t="s">
        <v>113</v>
      </c>
      <c r="D21" s="143" t="s">
        <v>114</v>
      </c>
      <c r="E21" s="100" t="s">
        <v>157</v>
      </c>
      <c r="F21" s="313" t="e">
        <f>#REF!</f>
        <v>#REF!</v>
      </c>
      <c r="G21" s="321" t="e">
        <f t="shared" si="1"/>
        <v>#REF!</v>
      </c>
      <c r="H21" s="298"/>
      <c r="I21" s="126">
        <v>2200000</v>
      </c>
      <c r="J21" s="124">
        <v>2530000</v>
      </c>
    </row>
    <row r="22" spans="1:10" s="5" customFormat="1" ht="17.399999999999999" customHeight="1">
      <c r="A22" s="286">
        <f t="shared" si="0"/>
        <v>14</v>
      </c>
      <c r="B22" s="144"/>
      <c r="C22" s="97" t="s">
        <v>135</v>
      </c>
      <c r="D22" s="143" t="s">
        <v>31</v>
      </c>
      <c r="E22" s="100" t="s">
        <v>157</v>
      </c>
      <c r="F22" s="313" t="e">
        <f>#REF!</f>
        <v>#REF!</v>
      </c>
      <c r="G22" s="321" t="e">
        <f t="shared" si="1"/>
        <v>#REF!</v>
      </c>
      <c r="H22" s="298"/>
      <c r="I22" s="94"/>
      <c r="J22" s="89">
        <v>2530000</v>
      </c>
    </row>
    <row r="23" spans="1:10" s="5" customFormat="1" ht="20.25" customHeight="1">
      <c r="A23" s="286">
        <f>+A22</f>
        <v>14</v>
      </c>
      <c r="B23" s="144"/>
      <c r="C23" s="260" t="s">
        <v>179</v>
      </c>
      <c r="D23" s="143"/>
      <c r="E23" s="100"/>
      <c r="F23" s="299"/>
      <c r="G23" s="324" t="e">
        <f>SUM(G9:G22)</f>
        <v>#REF!</v>
      </c>
      <c r="H23" s="298"/>
      <c r="I23" s="94"/>
      <c r="J23" s="89"/>
    </row>
    <row r="24" spans="1:10" s="5" customFormat="1" ht="17.399999999999999" customHeight="1">
      <c r="A24" s="286"/>
      <c r="B24" s="262"/>
      <c r="C24" s="579" t="s">
        <v>134</v>
      </c>
      <c r="D24" s="579"/>
      <c r="E24" s="579"/>
      <c r="F24" s="299"/>
      <c r="G24" s="322"/>
      <c r="H24" s="298"/>
      <c r="I24" s="94"/>
      <c r="J24" s="89"/>
    </row>
    <row r="25" spans="1:10" s="5" customFormat="1" ht="17.399999999999999" customHeight="1">
      <c r="A25" s="286">
        <v>1</v>
      </c>
      <c r="B25" s="104"/>
      <c r="C25" s="148" t="s">
        <v>126</v>
      </c>
      <c r="D25" s="149" t="s">
        <v>25</v>
      </c>
      <c r="E25" s="139" t="s">
        <v>129</v>
      </c>
      <c r="F25" s="299" t="e">
        <f>#REF!</f>
        <v>#REF!</v>
      </c>
      <c r="G25" s="321" t="e">
        <f>IF(F25*1%&gt;83000,83000,ROUND((F25*1%),-3))</f>
        <v>#REF!</v>
      </c>
      <c r="H25" s="298"/>
      <c r="I25" s="94"/>
      <c r="J25" s="89">
        <f>3630000+200000+200000</f>
        <v>4030000</v>
      </c>
    </row>
    <row r="26" spans="1:10" s="5" customFormat="1" ht="18" customHeight="1">
      <c r="A26" s="286">
        <f>A25+1</f>
        <v>2</v>
      </c>
      <c r="B26" s="104"/>
      <c r="C26" s="218" t="s">
        <v>131</v>
      </c>
      <c r="D26" s="149" t="s">
        <v>130</v>
      </c>
      <c r="E26" s="151" t="s">
        <v>20</v>
      </c>
      <c r="F26" s="299" t="e">
        <f>#REF!</f>
        <v>#REF!</v>
      </c>
      <c r="G26" s="321" t="e">
        <f>IF(F26*1%&gt;83000,83000,ROUND((F26*1%),-3))</f>
        <v>#REF!</v>
      </c>
      <c r="H26" s="298"/>
      <c r="I26" s="94"/>
      <c r="J26" s="89">
        <f>3630000+200000</f>
        <v>3830000</v>
      </c>
    </row>
    <row r="27" spans="1:10" s="5" customFormat="1" ht="19.5" customHeight="1">
      <c r="A27" s="286">
        <f>A26+1</f>
        <v>3</v>
      </c>
      <c r="B27" s="105"/>
      <c r="C27" s="99" t="s">
        <v>155</v>
      </c>
      <c r="D27" s="282" t="s">
        <v>156</v>
      </c>
      <c r="E27" s="100" t="s">
        <v>20</v>
      </c>
      <c r="F27" s="303" t="e">
        <f>#REF!</f>
        <v>#REF!</v>
      </c>
      <c r="G27" s="321" t="e">
        <f>IF(F27*1%&gt;83000,83000,ROUND((F27*1%),-3))</f>
        <v>#REF!</v>
      </c>
      <c r="H27" s="297"/>
      <c r="I27" s="94"/>
      <c r="J27" s="89">
        <f>3630000+200000</f>
        <v>3830000</v>
      </c>
    </row>
    <row r="28" spans="1:10" s="28" customFormat="1" ht="24" customHeight="1" thickBot="1">
      <c r="A28" s="580">
        <f>+A27</f>
        <v>3</v>
      </c>
      <c r="B28" s="581"/>
      <c r="C28" s="320" t="s">
        <v>179</v>
      </c>
      <c r="D28" s="319"/>
      <c r="E28" s="314"/>
      <c r="F28" s="315"/>
      <c r="G28" s="323" t="e">
        <f>SUM(G25:G27)</f>
        <v>#REF!</v>
      </c>
      <c r="H28" s="315"/>
      <c r="I28" s="94"/>
    </row>
    <row r="29" spans="1:10" s="28" customFormat="1" ht="20.399999999999999" thickTop="1" thickBot="1">
      <c r="A29" s="327">
        <f>+A28+A23</f>
        <v>17</v>
      </c>
      <c r="B29" s="316"/>
      <c r="C29" s="582" t="s">
        <v>3</v>
      </c>
      <c r="D29" s="583"/>
      <c r="E29" s="316"/>
      <c r="F29" s="317"/>
      <c r="G29" s="325" t="e">
        <f>+G28+G23</f>
        <v>#REF!</v>
      </c>
      <c r="H29" s="318"/>
      <c r="I29" s="94"/>
    </row>
    <row r="30" spans="1:10" s="28" customFormat="1" ht="16.2" thickTop="1">
      <c r="F30" s="89"/>
      <c r="G30" s="126"/>
      <c r="H30" s="126"/>
      <c r="I30" s="94"/>
    </row>
    <row r="31" spans="1:10" s="28" customFormat="1" ht="16.8">
      <c r="C31" s="326" t="s">
        <v>4</v>
      </c>
      <c r="D31" s="328"/>
      <c r="E31" s="328"/>
      <c r="F31" s="329"/>
      <c r="G31" s="584" t="s">
        <v>180</v>
      </c>
      <c r="H31" s="584"/>
      <c r="I31" s="94"/>
    </row>
    <row r="32" spans="1:10" s="28" customFormat="1" ht="16.8">
      <c r="C32" s="328"/>
      <c r="D32" s="328"/>
      <c r="E32" s="328"/>
      <c r="F32" s="329"/>
      <c r="G32" s="584" t="s">
        <v>181</v>
      </c>
      <c r="H32" s="584"/>
      <c r="I32" s="94"/>
    </row>
    <row r="33" spans="1:10" s="28" customFormat="1" ht="14.25" customHeight="1">
      <c r="A33" s="465"/>
      <c r="B33" s="465"/>
      <c r="D33" s="103"/>
      <c r="F33" s="89"/>
      <c r="G33" s="126"/>
      <c r="H33" s="126"/>
      <c r="I33" s="94"/>
    </row>
    <row r="34" spans="1:10" s="103" customFormat="1">
      <c r="F34" s="304"/>
      <c r="G34" s="304"/>
      <c r="H34" s="305"/>
      <c r="I34" s="101"/>
    </row>
    <row r="35" spans="1:10">
      <c r="I35" s="94"/>
      <c r="J35" s="28"/>
    </row>
    <row r="36" spans="1:10" ht="16.8">
      <c r="C36" s="326" t="s">
        <v>171</v>
      </c>
      <c r="I36" s="94"/>
      <c r="J36" s="28"/>
    </row>
    <row r="37" spans="1:10">
      <c r="I37" s="94"/>
      <c r="J37" s="28"/>
    </row>
    <row r="38" spans="1:10">
      <c r="I38" s="94"/>
      <c r="J38" s="28"/>
    </row>
    <row r="39" spans="1:10">
      <c r="I39" s="94"/>
      <c r="J39" s="28"/>
    </row>
    <row r="40" spans="1:10">
      <c r="I40" s="94"/>
      <c r="J40" s="28"/>
    </row>
    <row r="41" spans="1:10">
      <c r="I41" s="94"/>
      <c r="J41" s="28"/>
    </row>
    <row r="42" spans="1:10">
      <c r="I42" s="94"/>
      <c r="J42" s="28"/>
    </row>
    <row r="43" spans="1:10">
      <c r="J43" s="28"/>
    </row>
    <row r="44" spans="1:10">
      <c r="J44" s="28"/>
    </row>
    <row r="45" spans="1:10">
      <c r="J45" s="28"/>
    </row>
    <row r="46" spans="1:10">
      <c r="J46" s="28"/>
    </row>
    <row r="47" spans="1:10">
      <c r="J47" s="28"/>
    </row>
    <row r="48" spans="1:10">
      <c r="J48" s="28"/>
    </row>
    <row r="49" spans="10:10">
      <c r="J49" s="28"/>
    </row>
    <row r="50" spans="10:10">
      <c r="J50" s="28"/>
    </row>
    <row r="51" spans="10:10">
      <c r="J51" s="28"/>
    </row>
    <row r="52" spans="10:10">
      <c r="J52" s="28"/>
    </row>
    <row r="53" spans="10:10">
      <c r="J53" s="28"/>
    </row>
    <row r="54" spans="10:10">
      <c r="J54" s="28"/>
    </row>
    <row r="55" spans="10:10">
      <c r="J55" s="28"/>
    </row>
    <row r="56" spans="10:10">
      <c r="J56" s="28"/>
    </row>
    <row r="84" spans="1:10">
      <c r="H84" s="306"/>
    </row>
    <row r="85" spans="1:10" s="5" customFormat="1" ht="23.1" customHeight="1">
      <c r="A85" s="33">
        <f>[2]UNG!A11+1</f>
        <v>4</v>
      </c>
      <c r="B85" s="37" t="s">
        <v>71</v>
      </c>
      <c r="C85" s="22" t="s">
        <v>72</v>
      </c>
      <c r="D85" s="38" t="s">
        <v>73</v>
      </c>
      <c r="E85" s="39" t="s">
        <v>82</v>
      </c>
      <c r="F85" s="307">
        <v>2.37</v>
      </c>
      <c r="G85" s="308">
        <v>2500000</v>
      </c>
      <c r="H85" s="220"/>
      <c r="I85" s="91"/>
      <c r="J85" s="44">
        <v>1500000</v>
      </c>
    </row>
    <row r="86" spans="1:10" s="43" customFormat="1" ht="23.1" customHeight="1">
      <c r="A86" s="33">
        <f>A15+1</f>
        <v>8</v>
      </c>
      <c r="B86" s="34">
        <v>7911017708</v>
      </c>
      <c r="C86" s="20" t="s">
        <v>91</v>
      </c>
      <c r="D86" s="21" t="s">
        <v>92</v>
      </c>
      <c r="E86" s="27" t="s">
        <v>20</v>
      </c>
      <c r="F86" s="309">
        <v>1.65</v>
      </c>
      <c r="G86" s="308">
        <v>700000</v>
      </c>
      <c r="H86" s="310"/>
      <c r="I86" s="95"/>
      <c r="J86" s="46"/>
    </row>
    <row r="87" spans="1:10" s="5" customFormat="1" ht="23.1" customHeight="1">
      <c r="A87" s="33">
        <f>A12+1</f>
        <v>5</v>
      </c>
      <c r="B87" s="34">
        <v>7909016048</v>
      </c>
      <c r="C87" s="20" t="s">
        <v>43</v>
      </c>
      <c r="D87" s="21" t="s">
        <v>44</v>
      </c>
      <c r="E87" s="27" t="s">
        <v>20</v>
      </c>
      <c r="F87" s="309">
        <v>1.65</v>
      </c>
      <c r="G87" s="308">
        <v>700000</v>
      </c>
      <c r="H87" s="310"/>
      <c r="I87" s="95" t="s">
        <v>81</v>
      </c>
      <c r="J87" s="45">
        <v>500000</v>
      </c>
    </row>
    <row r="88" spans="1:10">
      <c r="B88" s="79">
        <v>7908364521</v>
      </c>
      <c r="C88" s="80" t="s">
        <v>110</v>
      </c>
      <c r="D88" s="26" t="s">
        <v>111</v>
      </c>
      <c r="E88" s="78" t="s">
        <v>20</v>
      </c>
      <c r="F88" s="311">
        <v>1.65</v>
      </c>
      <c r="G88" s="308">
        <v>700000</v>
      </c>
      <c r="H88" s="310"/>
    </row>
  </sheetData>
  <mergeCells count="23">
    <mergeCell ref="A4:H4"/>
    <mergeCell ref="E6:E7"/>
    <mergeCell ref="A3:D3"/>
    <mergeCell ref="F6:F7"/>
    <mergeCell ref="G6:G7"/>
    <mergeCell ref="H6:H7"/>
    <mergeCell ref="A5:H5"/>
    <mergeCell ref="C6:D7"/>
    <mergeCell ref="A1:D1"/>
    <mergeCell ref="F1:H1"/>
    <mergeCell ref="A2:D2"/>
    <mergeCell ref="F2:H2"/>
    <mergeCell ref="F3:H3"/>
    <mergeCell ref="A33:B33"/>
    <mergeCell ref="J6:J7"/>
    <mergeCell ref="C8:D8"/>
    <mergeCell ref="C24:E24"/>
    <mergeCell ref="A28:B28"/>
    <mergeCell ref="C29:D29"/>
    <mergeCell ref="G31:H31"/>
    <mergeCell ref="G32:H32"/>
    <mergeCell ref="A6:A7"/>
    <mergeCell ref="B6:B7"/>
  </mergeCells>
  <phoneticPr fontId="22" type="noConversion"/>
  <printOptions horizontalCentered="1"/>
  <pageMargins left="0.25" right="0.25" top="0.38" bottom="0" header="0.36" footer="0.1"/>
  <pageSetup paperSize="9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MỨC LƯƠNG KHOÁN</vt:lpstr>
      <vt:lpstr>phieuung</vt:lpstr>
      <vt:lpstr>QUA</vt:lpstr>
      <vt:lpstr>C.C VP</vt:lpstr>
      <vt:lpstr>C.C KT</vt:lpstr>
      <vt:lpstr>C.C BV</vt:lpstr>
      <vt:lpstr>C.C TV</vt:lpstr>
      <vt:lpstr>Sheet3</vt:lpstr>
      <vt:lpstr>The bao hiem</vt:lpstr>
      <vt:lpstr>'C.C BV'!Print_Area</vt:lpstr>
      <vt:lpstr>'C.C KT'!Print_Area</vt:lpstr>
      <vt:lpstr>'C.C TV'!Print_Area</vt:lpstr>
      <vt:lpstr>'C.C VP'!Print_Area</vt:lpstr>
      <vt:lpstr>'C.C BV'!Print_Titles</vt:lpstr>
      <vt:lpstr>'C.C KT'!Print_Titles</vt:lpstr>
      <vt:lpstr>'C.C VP'!Print_Titles</vt:lpstr>
      <vt:lpstr>'MỨC LƯƠNG KHOÁN'!Print_Titles</vt:lpstr>
      <vt:lpstr>QUA!Print_Titles</vt:lpstr>
      <vt:lpstr>'The bao hiem'!Print_Titles</vt:lpstr>
    </vt:vector>
  </TitlesOfParts>
  <Company>Khahomex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KimNhung</dc:creator>
  <cp:lastModifiedBy>Hội Khánh</cp:lastModifiedBy>
  <cp:lastPrinted>2025-12-29T06:07:25Z</cp:lastPrinted>
  <dcterms:created xsi:type="dcterms:W3CDTF">2005-11-09T07:29:15Z</dcterms:created>
  <dcterms:modified xsi:type="dcterms:W3CDTF">2026-01-21T03:47:01Z</dcterms:modified>
</cp:coreProperties>
</file>